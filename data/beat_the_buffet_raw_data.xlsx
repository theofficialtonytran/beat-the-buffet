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729d138ab9534ac/Desktop/Website/beat-the-buffet/data/"/>
    </mc:Choice>
  </mc:AlternateContent>
  <xr:revisionPtr revIDLastSave="0" documentId="14_{64656208-BBAC-449D-93B2-35676D065DA7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Instructions" sheetId="1" r:id="rId1"/>
    <sheet name="Menu Data" sheetId="2" r:id="rId2"/>
    <sheet name="Calorie Density Ref" sheetId="3" r:id="rId3"/>
    <sheet name="Value 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4" l="1"/>
  <c r="F23" i="4"/>
  <c r="F21" i="4"/>
  <c r="F20" i="4"/>
  <c r="E20" i="4"/>
  <c r="F19" i="4"/>
  <c r="E24" i="4"/>
  <c r="E23" i="4"/>
  <c r="E21" i="4"/>
  <c r="E19" i="4"/>
  <c r="H27" i="2"/>
  <c r="N26" i="2"/>
  <c r="O26" i="2" s="1"/>
  <c r="P26" i="2" s="1"/>
  <c r="N27" i="2"/>
  <c r="O27" i="2" s="1"/>
  <c r="P27" i="2" s="1"/>
  <c r="Q27" i="2" s="1"/>
  <c r="N28" i="2"/>
  <c r="O28" i="2" s="1"/>
  <c r="P28" i="2" s="1"/>
  <c r="Q28" i="2" s="1"/>
  <c r="N29" i="2"/>
  <c r="O29" i="2" s="1"/>
  <c r="P29" i="2" s="1"/>
  <c r="N30" i="2"/>
  <c r="O30" i="2" s="1"/>
  <c r="P30" i="2" s="1"/>
  <c r="Q30" i="2" s="1"/>
  <c r="N31" i="2"/>
  <c r="O31" i="2" s="1"/>
  <c r="P31" i="2" s="1"/>
  <c r="Q31" i="2" s="1"/>
  <c r="N32" i="2"/>
  <c r="O32" i="2" s="1"/>
  <c r="P32" i="2" s="1"/>
  <c r="Q32" i="2" s="1"/>
  <c r="N33" i="2"/>
  <c r="O33" i="2" s="1"/>
  <c r="P33" i="2" s="1"/>
  <c r="Q33" i="2" s="1"/>
  <c r="N34" i="2"/>
  <c r="O34" i="2" s="1"/>
  <c r="P34" i="2" s="1"/>
  <c r="N35" i="2"/>
  <c r="O35" i="2" s="1"/>
  <c r="P35" i="2" s="1"/>
  <c r="N36" i="2"/>
  <c r="O36" i="2" s="1"/>
  <c r="P36" i="2" s="1"/>
  <c r="N37" i="2"/>
  <c r="O37" i="2" s="1"/>
  <c r="P37" i="2" s="1"/>
  <c r="Q37" i="2" s="1"/>
  <c r="N38" i="2"/>
  <c r="O38" i="2" s="1"/>
  <c r="P38" i="2" s="1"/>
  <c r="Q38" i="2" s="1"/>
  <c r="N39" i="2"/>
  <c r="O39" i="2" s="1"/>
  <c r="P39" i="2" s="1"/>
  <c r="Q39" i="2" s="1"/>
  <c r="N40" i="2"/>
  <c r="O40" i="2" s="1"/>
  <c r="P40" i="2" s="1"/>
  <c r="Q40" i="2" s="1"/>
  <c r="N41" i="2"/>
  <c r="O41" i="2" s="1"/>
  <c r="P41" i="2" s="1"/>
  <c r="Q41" i="2" s="1"/>
  <c r="N19" i="2"/>
  <c r="O19" i="2" s="1"/>
  <c r="P19" i="2" s="1"/>
  <c r="N9" i="2"/>
  <c r="O9" i="2" s="1"/>
  <c r="P9" i="2" s="1"/>
  <c r="Q9" i="2" s="1"/>
  <c r="N7" i="2"/>
  <c r="O7" i="2" s="1"/>
  <c r="P7" i="2" s="1"/>
  <c r="Q7" i="2" s="1"/>
  <c r="N8" i="2"/>
  <c r="O8" i="2" s="1"/>
  <c r="P8" i="2" s="1"/>
  <c r="Q8" i="2" s="1"/>
  <c r="N10" i="2"/>
  <c r="O10" i="2" s="1"/>
  <c r="P10" i="2" s="1"/>
  <c r="Q10" i="2" s="1"/>
  <c r="N11" i="2"/>
  <c r="O11" i="2" s="1"/>
  <c r="P11" i="2" s="1"/>
  <c r="Q11" i="2" s="1"/>
  <c r="N12" i="2"/>
  <c r="O12" i="2" s="1"/>
  <c r="P12" i="2" s="1"/>
  <c r="Q12" i="2" s="1"/>
  <c r="N13" i="2"/>
  <c r="O13" i="2" s="1"/>
  <c r="P13" i="2" s="1"/>
  <c r="Q13" i="2" s="1"/>
  <c r="N14" i="2"/>
  <c r="O14" i="2" s="1"/>
  <c r="P14" i="2" s="1"/>
  <c r="N15" i="2"/>
  <c r="O15" i="2" s="1"/>
  <c r="P15" i="2" s="1"/>
  <c r="N16" i="2"/>
  <c r="O16" i="2" s="1"/>
  <c r="P16" i="2" s="1"/>
  <c r="N17" i="2"/>
  <c r="O17" i="2" s="1"/>
  <c r="P17" i="2" s="1"/>
  <c r="N18" i="2"/>
  <c r="O18" i="2" s="1"/>
  <c r="P18" i="2" s="1"/>
  <c r="N20" i="2"/>
  <c r="O20" i="2" s="1"/>
  <c r="P20" i="2" s="1"/>
  <c r="N21" i="2"/>
  <c r="O21" i="2" s="1"/>
  <c r="P21" i="2" s="1"/>
  <c r="N22" i="2"/>
  <c r="O22" i="2" s="1"/>
  <c r="P22" i="2" s="1"/>
  <c r="Q22" i="2" s="1"/>
  <c r="N23" i="2"/>
  <c r="O23" i="2" s="1"/>
  <c r="P23" i="2" s="1"/>
  <c r="N24" i="2"/>
  <c r="O24" i="2" s="1"/>
  <c r="P24" i="2" s="1"/>
  <c r="Q24" i="2" s="1"/>
  <c r="N25" i="2"/>
  <c r="O25" i="2" s="1"/>
  <c r="P25" i="2" s="1"/>
  <c r="N5" i="2"/>
  <c r="O5" i="2" s="1"/>
  <c r="P5" i="2" s="1"/>
  <c r="N6" i="2"/>
  <c r="O6" i="2" s="1"/>
  <c r="P6" i="2" s="1"/>
  <c r="Q6" i="2" s="1"/>
  <c r="N4" i="2"/>
  <c r="O4" i="2" s="1"/>
  <c r="P4" i="2" s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5" i="2"/>
  <c r="D24" i="4"/>
  <c r="C24" i="4"/>
  <c r="D23" i="4"/>
  <c r="C23" i="4"/>
  <c r="D22" i="4"/>
  <c r="C22" i="4"/>
  <c r="D21" i="4"/>
  <c r="C21" i="4"/>
  <c r="D20" i="4"/>
  <c r="C20" i="4"/>
  <c r="D19" i="4"/>
  <c r="C19" i="4"/>
  <c r="C11" i="4"/>
  <c r="C9" i="4"/>
  <c r="C8" i="4"/>
  <c r="P86" i="2"/>
  <c r="H86" i="2"/>
  <c r="P85" i="2"/>
  <c r="H85" i="2"/>
  <c r="P84" i="2"/>
  <c r="H84" i="2"/>
  <c r="P83" i="2"/>
  <c r="H83" i="2"/>
  <c r="P82" i="2"/>
  <c r="H82" i="2"/>
  <c r="P81" i="2"/>
  <c r="H81" i="2"/>
  <c r="P80" i="2"/>
  <c r="H80" i="2"/>
  <c r="P79" i="2"/>
  <c r="H79" i="2"/>
  <c r="P78" i="2"/>
  <c r="H78" i="2"/>
  <c r="P77" i="2"/>
  <c r="H77" i="2"/>
  <c r="P76" i="2"/>
  <c r="H76" i="2"/>
  <c r="P75" i="2"/>
  <c r="H75" i="2"/>
  <c r="P74" i="2"/>
  <c r="H74" i="2"/>
  <c r="P73" i="2"/>
  <c r="H73" i="2"/>
  <c r="P72" i="2"/>
  <c r="H72" i="2"/>
  <c r="P71" i="2"/>
  <c r="H71" i="2"/>
  <c r="P70" i="2"/>
  <c r="H70" i="2"/>
  <c r="P69" i="2"/>
  <c r="H69" i="2"/>
  <c r="P68" i="2"/>
  <c r="H68" i="2"/>
  <c r="P67" i="2"/>
  <c r="H67" i="2"/>
  <c r="P66" i="2"/>
  <c r="H66" i="2"/>
  <c r="P65" i="2"/>
  <c r="H65" i="2"/>
  <c r="P64" i="2"/>
  <c r="H64" i="2"/>
  <c r="P63" i="2"/>
  <c r="H63" i="2"/>
  <c r="P62" i="2"/>
  <c r="H62" i="2"/>
  <c r="P61" i="2"/>
  <c r="H61" i="2"/>
  <c r="P60" i="2"/>
  <c r="H60" i="2"/>
  <c r="P59" i="2"/>
  <c r="H59" i="2"/>
  <c r="P58" i="2"/>
  <c r="H58" i="2"/>
  <c r="P57" i="2"/>
  <c r="H57" i="2"/>
  <c r="P56" i="2"/>
  <c r="H56" i="2"/>
  <c r="P55" i="2"/>
  <c r="H55" i="2"/>
  <c r="P54" i="2"/>
  <c r="H54" i="2"/>
  <c r="P53" i="2"/>
  <c r="H53" i="2"/>
  <c r="P52" i="2"/>
  <c r="H52" i="2"/>
  <c r="P51" i="2"/>
  <c r="H51" i="2"/>
  <c r="P50" i="2"/>
  <c r="H50" i="2"/>
  <c r="P49" i="2"/>
  <c r="H49" i="2"/>
  <c r="P48" i="2"/>
  <c r="H48" i="2"/>
  <c r="P47" i="2"/>
  <c r="H47" i="2"/>
  <c r="P46" i="2"/>
  <c r="H46" i="2"/>
  <c r="P45" i="2"/>
  <c r="H45" i="2"/>
  <c r="P44" i="2"/>
  <c r="H44" i="2"/>
  <c r="P43" i="2"/>
  <c r="H43" i="2"/>
  <c r="P42" i="2"/>
  <c r="H42" i="2"/>
  <c r="H4" i="2"/>
  <c r="Q25" i="2" l="1"/>
  <c r="Q19" i="2"/>
  <c r="Q36" i="2"/>
  <c r="Q35" i="2"/>
  <c r="Q21" i="2"/>
  <c r="Q34" i="2"/>
  <c r="Q20" i="2"/>
  <c r="Q18" i="2"/>
  <c r="Q29" i="2"/>
  <c r="Q17" i="2"/>
  <c r="Q16" i="2"/>
  <c r="Q15" i="2"/>
  <c r="Q26" i="2"/>
  <c r="Q14" i="2"/>
  <c r="Q23" i="2"/>
  <c r="Q61" i="2"/>
  <c r="Q5" i="2"/>
  <c r="Q81" i="2"/>
  <c r="Q55" i="2"/>
  <c r="Q64" i="2"/>
  <c r="Q66" i="2"/>
  <c r="Q48" i="2"/>
  <c r="Q68" i="2"/>
  <c r="Q84" i="2"/>
  <c r="Q52" i="2"/>
  <c r="Q70" i="2"/>
  <c r="Q80" i="2"/>
  <c r="Q79" i="2"/>
  <c r="Q49" i="2"/>
  <c r="Q82" i="2"/>
  <c r="Q56" i="2"/>
  <c r="Q44" i="2"/>
  <c r="Q83" i="2"/>
  <c r="Q75" i="2"/>
  <c r="Q63" i="2"/>
  <c r="Q60" i="2"/>
  <c r="Q76" i="2"/>
  <c r="Q86" i="2"/>
  <c r="Q43" i="2"/>
  <c r="Q72" i="2"/>
  <c r="Q59" i="2"/>
  <c r="Q73" i="2"/>
  <c r="Q51" i="2"/>
  <c r="Q45" i="2"/>
  <c r="Q74" i="2"/>
  <c r="Q71" i="2"/>
  <c r="Q65" i="2"/>
  <c r="Q46" i="2"/>
  <c r="Q53" i="2"/>
  <c r="Q67" i="2"/>
  <c r="Q50" i="2"/>
  <c r="Q58" i="2"/>
  <c r="Q54" i="2"/>
  <c r="Q47" i="2"/>
  <c r="Q62" i="2"/>
  <c r="Q42" i="2"/>
  <c r="Q77" i="2"/>
  <c r="Q57" i="2"/>
  <c r="Q69" i="2"/>
  <c r="Q78" i="2"/>
  <c r="Q85" i="2"/>
  <c r="Q4" i="2"/>
  <c r="C13" i="4" l="1"/>
  <c r="C12" i="4"/>
  <c r="C15" i="4"/>
  <c r="E22" i="4"/>
  <c r="F22" i="4"/>
  <c r="C10" i="4"/>
  <c r="C14" i="4"/>
  <c r="E30" i="4" l="1"/>
  <c r="F30" i="4" s="1"/>
  <c r="E29" i="4"/>
  <c r="F29" i="4" s="1"/>
  <c r="E28" i="4"/>
  <c r="F2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AUTO-CALCULATED: Calories ÷ Cal_Density_Used. 
</t>
        </r>
      </text>
    </comment>
    <comment ref="I3" authorId="0" shapeId="0" xr:uid="{00000000-0006-0000-0100-000002000000}">
      <text>
        <r>
          <rPr>
            <sz val="10"/>
            <rFont val="Arial"/>
            <family val="2"/>
          </rPr>
          <t>Look up the caloric density midpoint for this food category from the 'Calorie Density Ref' sheet. Enter the number (e.g. 62.5 for beef). The serving size will auto-calculate.</t>
        </r>
      </text>
    </comment>
    <comment ref="O3" authorId="0" shapeId="0" xr:uid="{00000000-0006-0000-0100-000003000000}">
      <text>
        <r>
          <rPr>
            <sz val="10"/>
            <rFont val="Arial"/>
            <family val="2"/>
          </rPr>
          <t>Convert retail unit to ounces. This lets all prices be compared on a $/oz basis.</t>
        </r>
      </text>
    </comment>
    <comment ref="P3" authorId="0" shapeId="0" xr:uid="{00000000-0006-0000-0100-000004000000}">
      <text>
        <r>
          <rPr>
            <sz val="10"/>
            <rFont val="Arial"/>
            <family val="2"/>
          </rPr>
          <t>AUTO-CALCULATED: Retail Price ÷ Retail_Unit_Size_oz. Do not edit.</t>
        </r>
      </text>
    </comment>
    <comment ref="Q3" authorId="0" shapeId="0" xr:uid="{00000000-0006-0000-0100-000005000000}">
      <text>
        <r>
          <rPr>
            <sz val="10"/>
            <rFont val="Arial"/>
            <family val="2"/>
          </rPr>
          <t>AUTO-CALCULATED: Price_Per_Oz × Est_Serving_Size_oz. This is the grocery-equivalent dollar value of one K-Pot serving. Do not edit.</t>
        </r>
      </text>
    </comment>
  </commentList>
</comments>
</file>

<file path=xl/sharedStrings.xml><?xml version="1.0" encoding="utf-8"?>
<sst xmlns="http://schemas.openxmlformats.org/spreadsheetml/2006/main" count="418" uniqueCount="235">
  <si>
    <t>📐  Key Formulas</t>
  </si>
  <si>
    <t>Estimated Serving Size (oz)</t>
  </si>
  <si>
    <t>Retail Price Per Ounce</t>
  </si>
  <si>
    <t>Retail Value Per Serving</t>
  </si>
  <si>
    <t>Cost Recovery Ratio</t>
  </si>
  <si>
    <t>📝  Data Collection Notes</t>
  </si>
  <si>
    <t>Calorie Source</t>
  </si>
  <si>
    <t>Use projected calories printed on the K-Pot menu (Columbus, OH location)</t>
  </si>
  <si>
    <t>Retail Price Date</t>
  </si>
  <si>
    <t>Price Collection Date</t>
  </si>
  <si>
    <t>Retail Sources</t>
  </si>
  <si>
    <t>Buffet Dinner Price</t>
  </si>
  <si>
    <t>Unique ID</t>
  </si>
  <si>
    <t>Name as on menu</t>
  </si>
  <si>
    <t>Food category</t>
  </si>
  <si>
    <t>Yes / No</t>
  </si>
  <si>
    <t>Brief description</t>
  </si>
  <si>
    <t>Derived from calories ÷ cal density</t>
  </si>
  <si>
    <t>Cal/oz midpoint used (from Ref sheet)</t>
  </si>
  <si>
    <t>Comparable grocery product</t>
  </si>
  <si>
    <t>Retail price ($)</t>
  </si>
  <si>
    <t>lb, oz, package…</t>
  </si>
  <si>
    <t>Unit size in oz (e.g. 16 for 1 lb)</t>
  </si>
  <si>
    <t>retail_price ÷ Retail_Unit_Size_oz</t>
  </si>
  <si>
    <t>price_per_oz × Est_Serving_Size_oz</t>
  </si>
  <si>
    <t>Any notes or caveats</t>
  </si>
  <si>
    <t>Item_ID</t>
  </si>
  <si>
    <t>Food_Name</t>
  </si>
  <si>
    <t>Category</t>
  </si>
  <si>
    <t>Calories</t>
  </si>
  <si>
    <t>Spicy</t>
  </si>
  <si>
    <t>Dinner_Item</t>
  </si>
  <si>
    <t>Description</t>
  </si>
  <si>
    <t>Est_Serving_Size_oz</t>
  </si>
  <si>
    <t>Cal_Density_Used</t>
  </si>
  <si>
    <t>Retail_Equivalent</t>
  </si>
  <si>
    <t>Retail_Price</t>
  </si>
  <si>
    <t>Retail_Unit_Size_oz</t>
  </si>
  <si>
    <t>Retail_Price_Per_Oz</t>
  </si>
  <si>
    <t>Retail_Value_Per_Serving</t>
  </si>
  <si>
    <t>Notes</t>
  </si>
  <si>
    <t>Beef Bulgogi</t>
  </si>
  <si>
    <t>Beef</t>
  </si>
  <si>
    <t>No</t>
  </si>
  <si>
    <t>Yes</t>
  </si>
  <si>
    <t>Spicy Pork Belly</t>
  </si>
  <si>
    <t>Pork</t>
  </si>
  <si>
    <t>Garlic Chicken</t>
  </si>
  <si>
    <t>Chicken</t>
  </si>
  <si>
    <t>Boneless chicken in garlic sauce</t>
  </si>
  <si>
    <t>Shrimp</t>
  </si>
  <si>
    <t>Seafood</t>
  </si>
  <si>
    <t>Steamed White Rice</t>
  </si>
  <si>
    <t>Rice</t>
  </si>
  <si>
    <t>Plain steamed rice, side dish</t>
  </si>
  <si>
    <t>Food Category</t>
  </si>
  <si>
    <t>Cal/oz Low</t>
  </si>
  <si>
    <t>Cal/oz High</t>
  </si>
  <si>
    <t>Beef (lean, marinated/bulgogi)</t>
  </si>
  <si>
    <t>Beef (fatty cuts, e.g. galbi)</t>
  </si>
  <si>
    <t>Higher fat content elevates calorie density</t>
  </si>
  <si>
    <t>Pork Belly</t>
  </si>
  <si>
    <t>Pork (lean, marinated)</t>
  </si>
  <si>
    <t>Shoulder, loin cuts; lower than belly</t>
  </si>
  <si>
    <t>Chicken (boneless, marinated)</t>
  </si>
  <si>
    <t>Lean; breast lower end, thigh upper end</t>
  </si>
  <si>
    <t>Very lean; low calorie density</t>
  </si>
  <si>
    <t>Squid / Octopus</t>
  </si>
  <si>
    <t>Similar to shrimp</t>
  </si>
  <si>
    <t>Scallops / Clams</t>
  </si>
  <si>
    <t>Lowest density seafood items</t>
  </si>
  <si>
    <t>Steamed Rice</t>
  </si>
  <si>
    <t>Cooked weight; denser than raw</t>
  </si>
  <si>
    <t>Leafy Vegetables</t>
  </si>
  <si>
    <t>Lettuce, spinach, perilla</t>
  </si>
  <si>
    <t>Root Vegetables / Mushrooms</t>
  </si>
  <si>
    <t>Onion, zucchini, mushrooms</t>
  </si>
  <si>
    <t>ASSUMPTIONS</t>
  </si>
  <si>
    <t>Dinner Buffet Price (per person)</t>
  </si>
  <si>
    <t>DATASET SUMMARY  (auto-calculated from Menu Data sheet)</t>
  </si>
  <si>
    <t>Total Menu Items</t>
  </si>
  <si>
    <t>Dinner-Only Items</t>
  </si>
  <si>
    <t>Items with Retail Value</t>
  </si>
  <si>
    <t>Avg Calories per Item</t>
  </si>
  <si>
    <t>Avg Retail Value/Serving</t>
  </si>
  <si>
    <t>Total Retail Value (all)</t>
  </si>
  <si>
    <t>Highest Value Item</t>
  </si>
  <si>
    <t>Highest Retail Value/Srv</t>
  </si>
  <si>
    <t>CATEGORY BREAKDOWN  (average retail value per serving, by category)</t>
  </si>
  <si>
    <t>Item Count</t>
  </si>
  <si>
    <t>Avg Calories</t>
  </si>
  <si>
    <t>Avg Value/Serving ($)</t>
  </si>
  <si>
    <t>Total Value ($)</t>
  </si>
  <si>
    <t>Vegetable</t>
  </si>
  <si>
    <t>Scenario</t>
  </si>
  <si>
    <t>Meat Servings</t>
  </si>
  <si>
    <t>Est. Retail Value</t>
  </si>
  <si>
    <t>Casual Customer</t>
  </si>
  <si>
    <t>3 meat + 2 side servings at avg value</t>
  </si>
  <si>
    <t>Average Customer</t>
  </si>
  <si>
    <t>6 meat + 3 side servings at avg value</t>
  </si>
  <si>
    <t>Competitive Buffet Customer</t>
  </si>
  <si>
    <t>Marinated beef</t>
  </si>
  <si>
    <t>Spicy Beef Bulgogi</t>
  </si>
  <si>
    <t>Marinated beef with spicy sauce</t>
  </si>
  <si>
    <t>Prime Brisket</t>
  </si>
  <si>
    <t>Sliced Beef Belly</t>
  </si>
  <si>
    <t>Sliced Beef Tongue</t>
  </si>
  <si>
    <t>K-POT Steak</t>
  </si>
  <si>
    <t>Finger Ribs</t>
  </si>
  <si>
    <t>KPOT Short Rib</t>
  </si>
  <si>
    <t>Marinated short rib</t>
  </si>
  <si>
    <t>Angus Chuck Flap Tail</t>
  </si>
  <si>
    <t>Chicken Bulgogi</t>
  </si>
  <si>
    <t>Spicy Chicken Bulgogi</t>
  </si>
  <si>
    <t>Smoked Garlic Pork Belly</t>
  </si>
  <si>
    <t>KPOT Pork Belly</t>
  </si>
  <si>
    <t>Marinated premium pork belly</t>
  </si>
  <si>
    <t>Sliced Pork Belly</t>
  </si>
  <si>
    <t>Smoked &amp; marinated pork belly with garlic sauce</t>
  </si>
  <si>
    <t>Marinated pork belly with spicy sauce</t>
  </si>
  <si>
    <t>Regular style sliced pork belly</t>
  </si>
  <si>
    <t>Marinated pork with spicy sauce</t>
  </si>
  <si>
    <t>Spicy Pork Bulgogi</t>
  </si>
  <si>
    <t>Spicy Calamari</t>
  </si>
  <si>
    <t>Marinated calamari with spicy sauce</t>
  </si>
  <si>
    <t>Spicy Fish Fillet</t>
  </si>
  <si>
    <t>Marinated fish fillet with spicy sauce</t>
  </si>
  <si>
    <t>Mussels</t>
  </si>
  <si>
    <t>Garlic Shrimp</t>
  </si>
  <si>
    <t>Marinated shrimp with garlic sauce</t>
  </si>
  <si>
    <t>Jumbo Shrimp</t>
  </si>
  <si>
    <t>Spicy Baby Octopus</t>
  </si>
  <si>
    <t>Marinated baby octopus with spicy sauce</t>
  </si>
  <si>
    <t>Spicy Salmon</t>
  </si>
  <si>
    <t>Marinated salmon with spicy sauce</t>
  </si>
  <si>
    <t>Eggplant</t>
  </si>
  <si>
    <t>Pumpkin</t>
  </si>
  <si>
    <t>Potato</t>
  </si>
  <si>
    <t>Sweet Potato</t>
  </si>
  <si>
    <t>Zucchini</t>
  </si>
  <si>
    <t>Pineapple</t>
  </si>
  <si>
    <t>King Mushroom</t>
  </si>
  <si>
    <t>Beech Mushroom</t>
  </si>
  <si>
    <t>Onion</t>
  </si>
  <si>
    <t>Pepper</t>
  </si>
  <si>
    <t>Green Leaf Lettace</t>
  </si>
  <si>
    <t>Garlic</t>
  </si>
  <si>
    <t>Thinly Sliced Prime Brisket</t>
  </si>
  <si>
    <t>USDA Grade Steak</t>
  </si>
  <si>
    <t>Boneless chicken</t>
  </si>
  <si>
    <t>Boneless chicken with spicy sauce</t>
  </si>
  <si>
    <t>Thinly Sliced Pork Belly</t>
  </si>
  <si>
    <t>Fish</t>
  </si>
  <si>
    <t>Fatty (e.g. Salmon)</t>
  </si>
  <si>
    <t>Fruit</t>
  </si>
  <si>
    <t>Fruits (e.g. Pineapple)</t>
  </si>
  <si>
    <t>Marinated Beef Thin Ribeye Roll Bulgogi</t>
  </si>
  <si>
    <t>Quantity</t>
  </si>
  <si>
    <t>Unit</t>
  </si>
  <si>
    <t>Marinated Beef Spicy Ribeye Roll Bulgogi</t>
  </si>
  <si>
    <t>Beef Thin&amp;Roll Brisket Choice</t>
  </si>
  <si>
    <t>g</t>
  </si>
  <si>
    <t>1 lb 454g = 16oz</t>
  </si>
  <si>
    <t>1lb 454g = 16oz</t>
  </si>
  <si>
    <t>2 lb 907g = 32oz</t>
  </si>
  <si>
    <t>Beef Thin&amp;Roll Tongue</t>
  </si>
  <si>
    <t>Marinated Sliced Beef Short Rib(La Galbi)</t>
  </si>
  <si>
    <t>Beef /short Ribs /finger Meat</t>
  </si>
  <si>
    <t>Great Southern Grass Fed Beef, ABF NY Strip CC Steak</t>
  </si>
  <si>
    <t>12oz. Found on Costco</t>
  </si>
  <si>
    <t>Beef Thin&amp;Roll Boneless Short Plate</t>
  </si>
  <si>
    <t>Usda Choice Beef Sliced Chuck Flap Tail</t>
  </si>
  <si>
    <t>Unit_Conversion(g)</t>
  </si>
  <si>
    <t>Pork Thin&amp;Roll Single Rib Belly, Frozen</t>
  </si>
  <si>
    <t>Sliced Single Pork Belly, Frozen</t>
  </si>
  <si>
    <t>Marinated Pork Sliced Single Belly</t>
  </si>
  <si>
    <t>Marinated Pork Spicy CT Butt Bulgogi</t>
  </si>
  <si>
    <t>KBBQ Premium Soy Chicken Bulgogi</t>
  </si>
  <si>
    <t>2lbs. Taken from https://www.sayweee.com/en/product/KBBQ-Premium-Soy-Chicken-Bulgogi/108808?utm_source=seo-explore&amp;utm_campaign=top-seo-expanded-1&amp;utm_content=product-108808&amp;checkZip=true&amp;fbp=fb.1.1782235153751.624890839479713468.AQYAAQIB&amp;mt=8</t>
  </si>
  <si>
    <t>KBBQ Spicy Chicken Thigh Bulgogi</t>
  </si>
  <si>
    <t>Taken from https://www.sayweee.com/en/product/KBBQ-Spicy-Chicken-Thigh-Bulgogi--Frozen-1/91084</t>
  </si>
  <si>
    <t>Bibigo Frozen Korean Style Crunchy Chicken with Soy Garlic Sauce</t>
  </si>
  <si>
    <t>Taken from https://www.instacart.com/products/27993071-bibigo-korean-style-crunchy-chicken-with-soy-garlic-sauce-18-oz?retailerSlug=dillons</t>
  </si>
  <si>
    <t>Using same metric as Spicy Pork Belly due to lack of resources</t>
  </si>
  <si>
    <t>Premium Pork Belly, Skin-On Boneless</t>
  </si>
  <si>
    <t>(Premium pork belly) Taken from https://www.sayweee.com/en/product/Premium-Pork-Belly-Skin-On-Boneless-Frozen-1/112265?utm_source=seo-explore&amp;utm_campaign=top-seo-expanded-1&amp;utm_content=product-112265&amp;checkZip=true&amp;fbp=fb.1.1782235153751.624890839479713468.AQYAAQIB&amp;mt=8</t>
  </si>
  <si>
    <t>Frozen Wild Caught Squid</t>
  </si>
  <si>
    <t>Small flucuation possible due to sauce. Took middle point of serving size present at https://www.sayweee.com/en/product/Frozen-Wild-Caught-Squid/107292?utm_source=seo-explore&amp;utm_campaign=top-seo-expanded-1&amp;utm_content=product-107292&amp;checkZip=true&amp;fbp=fb.1.1782235153751.624890839479713468.AQYAAQIB&amp;mt=8</t>
  </si>
  <si>
    <t>Tilapia Fillet</t>
  </si>
  <si>
    <t xml:space="preserve">Small flucuation possible due to sauce. </t>
  </si>
  <si>
    <t>Cooked Mussel Meat</t>
  </si>
  <si>
    <t>Raw Shrimp</t>
  </si>
  <si>
    <t>Small flucuation possible due to marination</t>
  </si>
  <si>
    <t>Baby Octopus</t>
  </si>
  <si>
    <t>Sea Queen Fresh Atlantic Salmon Portions</t>
  </si>
  <si>
    <t>Small flucuation possible due to marination. Found from https://www.instacart.com/products/17771058-fresh-salmon-1-per-lb</t>
  </si>
  <si>
    <t>Kroger</t>
  </si>
  <si>
    <t>Kroger Pumpkin</t>
  </si>
  <si>
    <t>Kroger® Russet Potatoes</t>
  </si>
  <si>
    <t>Fresh Ripe Whole Pineapple</t>
  </si>
  <si>
    <t>ORGANIC MINI KING OYSTER MUSHROOM KOREA</t>
  </si>
  <si>
    <t>Organic Bunashimeji Brown Beech Mushroom</t>
  </si>
  <si>
    <t>Jumbo White Onions</t>
  </si>
  <si>
    <t>Fresh Red Hothouse Bell Pepper</t>
  </si>
  <si>
    <t>Slight price flucuation because pepper includes Red &amp; Green peppers (green are slighly cheaper)</t>
  </si>
  <si>
    <t>Fresh Green Leaf Lettuce</t>
  </si>
  <si>
    <t>Kroger® Peeled Garlic</t>
  </si>
  <si>
    <t>White Rice</t>
  </si>
  <si>
    <t>← K-Pot Dinner Price (only KBBQ, no drinks, 20% tip included)</t>
  </si>
  <si>
    <t>Side Servings (Vegetables / Rice)</t>
  </si>
  <si>
    <t>Haven Foods Head On Jumbo Raw Shrimp</t>
  </si>
  <si>
    <t>Alliums / Aromatics</t>
  </si>
  <si>
    <t>g --&gt; oz</t>
  </si>
  <si>
    <t>BEAT THE BUFFET: K-Pot Value Analysis</t>
  </si>
  <si>
    <t xml:space="preserve">Data Collection Template </t>
  </si>
  <si>
    <t>Taken from K-Pot menu</t>
  </si>
  <si>
    <t xml:space="preserve">Midpoint </t>
  </si>
  <si>
    <t>Bulgogi, short rib, brisket. Note: marinade adds minor calories</t>
  </si>
  <si>
    <t>High fat - most calorie-dense item on menu</t>
  </si>
  <si>
    <t>10 meat servings + 4 side servings at avg value</t>
  </si>
  <si>
    <t>menu calories ÷ Caloric Density Midpoint for the item's category (from Calorie Density Ref sheet)</t>
  </si>
  <si>
    <t>retail price ÷ (Retail Unit Size in oz); standardizes all retail prices to $/oz</t>
  </si>
  <si>
    <t>retail_price_per_ounce × Estimated_Serving_Size , a.k.a the grocery-equivalent $ value of one buffet portion</t>
  </si>
  <si>
    <t>total retail value of food consumed ÷ Dinner Buffet Price (see Value Analysis sheet)</t>
  </si>
  <si>
    <t>Record prices on a single date (the date I collected this data and used it)</t>
  </si>
  <si>
    <t>Note above</t>
  </si>
  <si>
    <t>H-Mart as golden standard. If not listed there, used Costco, Kroger, Walmart, Instacart and Wee</t>
  </si>
  <si>
    <t>Assuming Dinner price, no extra drinks, 20% tip</t>
  </si>
  <si>
    <t>SCENARIO ANALYSIS - Cost Recovery Ratio</t>
  </si>
  <si>
    <t>Beat the Buffet - Value Analysis Summary</t>
  </si>
  <si>
    <t>← Date retail prices were collected</t>
  </si>
  <si>
    <t>Caloric Density Reference - Serving Size Derivation</t>
  </si>
  <si>
    <t>Beat the Buffet - K-Pot Menu Data</t>
  </si>
  <si>
    <t>Used the Midpoint value in column I (Cal_Density_Used) of the Menu Data sheet for each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</si>
</sst>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"/>
    <numFmt numFmtId="165" formatCode="\$#,##0.0000"/>
    <numFmt numFmtId="166" formatCode="\$#,##0.00"/>
    <numFmt numFmtId="167" formatCode="_([$$-409]* #,##0.00_);_([$$-409]* \(#,##0.00\);_([$$-409]* &quot;-&quot;??_);_(@_)"/>
    <numFmt numFmtId="168" formatCode="&quot;$&quot;#,##0.00"/>
  </numFmts>
  <fonts count="2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2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i/>
      <sz val="8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  <font>
      <i/>
      <sz val="10"/>
      <color rgb="FF595959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i/>
      <sz val="8"/>
      <color rgb="FFFFFFFF"/>
      <name val="Arial"/>
      <family val="2"/>
    </font>
    <font>
      <sz val="11"/>
      <color theme="1"/>
      <name val="Calibri"/>
      <family val="2"/>
      <charset val="1"/>
    </font>
    <font>
      <i/>
      <sz val="9"/>
      <color rgb="FF595959"/>
      <name val="Arial"/>
      <family val="2"/>
    </font>
    <font>
      <sz val="10"/>
      <color rgb="FF000000"/>
      <name val="Arial"/>
      <family val="2"/>
    </font>
    <font>
      <b/>
      <sz val="20"/>
      <color rgb="FFFFFFFF"/>
      <name val="Arial"/>
      <family val="2"/>
    </font>
    <font>
      <i/>
      <sz val="12"/>
      <color rgb="FFFFFFFF"/>
      <name val="Arial"/>
      <family val="2"/>
    </font>
    <font>
      <b/>
      <sz val="10"/>
      <color rgb="FF1F4E79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9D8"/>
      </patternFill>
    </fill>
    <fill>
      <patternFill patternType="solid">
        <fgColor rgb="FFE2EFDA"/>
        <bgColor rgb="FFF2F2F2"/>
      </patternFill>
    </fill>
    <fill>
      <patternFill patternType="solid">
        <fgColor rgb="FF595959"/>
        <bgColor rgb="FF375623"/>
      </patternFill>
    </fill>
    <fill>
      <patternFill patternType="solid">
        <fgColor rgb="FF375623"/>
        <bgColor rgb="FF59595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20" fillId="0" borderId="0" applyFont="0" applyFill="0" applyBorder="0" applyAlignment="0" applyProtection="0"/>
  </cellStyleXfs>
  <cellXfs count="64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164" fontId="10" fillId="8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165" fontId="10" fillId="8" borderId="1" xfId="0" applyNumberFormat="1" applyFont="1" applyFill="1" applyBorder="1" applyAlignment="1">
      <alignment horizontal="center" vertical="center"/>
    </xf>
    <xf numFmtId="166" fontId="10" fillId="8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164" fontId="10" fillId="5" borderId="1" xfId="0" applyNumberFormat="1" applyFont="1" applyFill="1" applyBorder="1" applyAlignment="1">
      <alignment horizontal="center" vertical="center"/>
    </xf>
    <xf numFmtId="164" fontId="13" fillId="8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166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167" fontId="9" fillId="7" borderId="1" xfId="0" applyNumberFormat="1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center" vertical="center" wrapText="1"/>
    </xf>
    <xf numFmtId="16" fontId="9" fillId="7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/>
    </xf>
    <xf numFmtId="168" fontId="10" fillId="8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168" fontId="10" fillId="8" borderId="1" xfId="1" applyNumberFormat="1" applyFont="1" applyFill="1" applyBorder="1" applyAlignment="1">
      <alignment horizontal="center" vertical="center"/>
    </xf>
    <xf numFmtId="10" fontId="10" fillId="8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14" fillId="3" borderId="0" xfId="0" applyFont="1" applyFill="1"/>
    <xf numFmtId="0" fontId="14" fillId="2" borderId="0" xfId="0" applyFont="1" applyFill="1"/>
    <xf numFmtId="0" fontId="15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9D8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9"/>
  <sheetViews>
    <sheetView showGridLines="0" zoomScaleNormal="100" workbookViewId="0">
      <selection activeCell="C17" sqref="C17"/>
    </sheetView>
  </sheetViews>
  <sheetFormatPr defaultColWidth="8.7109375" defaultRowHeight="15" x14ac:dyDescent="0.25"/>
  <cols>
    <col min="1" max="1" width="3" customWidth="1"/>
    <col min="2" max="2" width="28" customWidth="1"/>
    <col min="3" max="3" width="60" customWidth="1"/>
  </cols>
  <sheetData>
    <row r="1" spans="2:3" ht="9.75" customHeight="1" x14ac:dyDescent="0.25"/>
    <row r="2" spans="2:3" ht="36" customHeight="1" x14ac:dyDescent="0.25">
      <c r="B2" s="59" t="s">
        <v>214</v>
      </c>
      <c r="C2" s="60"/>
    </row>
    <row r="3" spans="2:3" ht="21.75" customHeight="1" x14ac:dyDescent="0.25">
      <c r="B3" s="61" t="s">
        <v>215</v>
      </c>
      <c r="C3" s="62"/>
    </row>
    <row r="4" spans="2:3" ht="9.75" customHeight="1" x14ac:dyDescent="0.25"/>
    <row r="5" spans="2:3" ht="21.75" customHeight="1" x14ac:dyDescent="0.25"/>
    <row r="6" spans="2:3" ht="36" customHeight="1" x14ac:dyDescent="0.25">
      <c r="B6" s="58" t="s">
        <v>0</v>
      </c>
      <c r="C6" s="58"/>
    </row>
    <row r="7" spans="2:3" ht="36" customHeight="1" x14ac:dyDescent="0.25">
      <c r="B7" s="1" t="s">
        <v>1</v>
      </c>
      <c r="C7" s="47" t="s">
        <v>221</v>
      </c>
    </row>
    <row r="8" spans="2:3" ht="36" customHeight="1" x14ac:dyDescent="0.25">
      <c r="B8" s="1" t="s">
        <v>2</v>
      </c>
      <c r="C8" s="47" t="s">
        <v>222</v>
      </c>
    </row>
    <row r="9" spans="2:3" ht="36" customHeight="1" x14ac:dyDescent="0.25">
      <c r="B9" s="1" t="s">
        <v>3</v>
      </c>
      <c r="C9" s="47" t="s">
        <v>223</v>
      </c>
    </row>
    <row r="10" spans="2:3" ht="9.75" customHeight="1" x14ac:dyDescent="0.25">
      <c r="B10" s="1" t="s">
        <v>4</v>
      </c>
      <c r="C10" s="47" t="s">
        <v>224</v>
      </c>
    </row>
    <row r="11" spans="2:3" ht="21.75" customHeight="1" x14ac:dyDescent="0.25"/>
    <row r="12" spans="2:3" ht="36" customHeight="1" x14ac:dyDescent="0.25">
      <c r="B12" s="58" t="s">
        <v>5</v>
      </c>
      <c r="C12" s="58"/>
    </row>
    <row r="13" spans="2:3" ht="36" customHeight="1" x14ac:dyDescent="0.25">
      <c r="B13" s="1" t="s">
        <v>6</v>
      </c>
      <c r="C13" s="2" t="s">
        <v>7</v>
      </c>
    </row>
    <row r="14" spans="2:3" ht="36" customHeight="1" x14ac:dyDescent="0.25">
      <c r="B14" s="1" t="s">
        <v>8</v>
      </c>
      <c r="C14" s="47" t="s">
        <v>225</v>
      </c>
    </row>
    <row r="15" spans="2:3" ht="36" customHeight="1" x14ac:dyDescent="0.25">
      <c r="B15" s="1" t="s">
        <v>9</v>
      </c>
      <c r="C15" s="50" t="s">
        <v>226</v>
      </c>
    </row>
    <row r="16" spans="2:3" ht="36" customHeight="1" x14ac:dyDescent="0.25">
      <c r="B16" s="1" t="s">
        <v>10</v>
      </c>
      <c r="C16" s="47" t="s">
        <v>227</v>
      </c>
    </row>
    <row r="17" spans="2:3" ht="9.75" customHeight="1" x14ac:dyDescent="0.25">
      <c r="B17" s="46" t="s">
        <v>11</v>
      </c>
      <c r="C17" s="47" t="s">
        <v>228</v>
      </c>
    </row>
    <row r="18" spans="2:3" ht="21.75" customHeight="1" x14ac:dyDescent="0.25"/>
    <row r="19" spans="2:3" ht="36" customHeight="1" x14ac:dyDescent="0.25"/>
    <row r="20" spans="2:3" ht="36" customHeight="1" x14ac:dyDescent="0.25"/>
    <row r="21" spans="2:3" ht="36" customHeight="1" x14ac:dyDescent="0.25"/>
    <row r="22" spans="2:3" ht="36" customHeight="1" x14ac:dyDescent="0.25"/>
    <row r="23" spans="2:3" ht="9.75" customHeight="1" x14ac:dyDescent="0.25"/>
    <row r="24" spans="2:3" ht="21.75" customHeight="1" x14ac:dyDescent="0.25"/>
    <row r="25" spans="2:3" ht="36" customHeight="1" x14ac:dyDescent="0.25"/>
    <row r="26" spans="2:3" ht="36" customHeight="1" x14ac:dyDescent="0.25"/>
    <row r="27" spans="2:3" ht="36" customHeight="1" x14ac:dyDescent="0.25"/>
    <row r="28" spans="2:3" ht="36" customHeight="1" x14ac:dyDescent="0.25"/>
    <row r="29" spans="2:3" ht="36" customHeight="1" x14ac:dyDescent="0.25"/>
  </sheetData>
  <mergeCells count="4">
    <mergeCell ref="B12:C12"/>
    <mergeCell ref="B2:C2"/>
    <mergeCell ref="B3:C3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6"/>
  <sheetViews>
    <sheetView showGridLines="0" zoomScaleNormal="100" workbookViewId="0">
      <pane ySplit="2" topLeftCell="A3" activePane="bottomLeft" state="frozen"/>
      <selection pane="bottomLeft" sqref="A1:R1"/>
    </sheetView>
  </sheetViews>
  <sheetFormatPr defaultColWidth="8.7109375" defaultRowHeight="15" x14ac:dyDescent="0.25"/>
  <cols>
    <col min="1" max="1" width="9" customWidth="1"/>
    <col min="2" max="2" width="28" customWidth="1"/>
    <col min="3" max="3" width="16" customWidth="1"/>
    <col min="4" max="4" width="11" customWidth="1"/>
    <col min="5" max="5" width="9" customWidth="1"/>
    <col min="6" max="6" width="12" customWidth="1"/>
    <col min="7" max="7" width="36" customWidth="1"/>
    <col min="8" max="9" width="18" customWidth="1"/>
    <col min="10" max="10" width="30" customWidth="1"/>
    <col min="11" max="14" width="14" customWidth="1"/>
    <col min="15" max="16" width="18" customWidth="1"/>
    <col min="17" max="17" width="22" customWidth="1"/>
    <col min="18" max="18" width="30" customWidth="1"/>
  </cols>
  <sheetData>
    <row r="1" spans="1:18" ht="30" customHeight="1" x14ac:dyDescent="0.25">
      <c r="A1" s="54" t="s">
        <v>233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27.75" customHeight="1" x14ac:dyDescent="0.25">
      <c r="A2" s="3" t="s">
        <v>12</v>
      </c>
      <c r="B2" s="3" t="s">
        <v>13</v>
      </c>
      <c r="C2" s="3" t="s">
        <v>14</v>
      </c>
      <c r="D2" s="37" t="s">
        <v>216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7" t="s">
        <v>158</v>
      </c>
      <c r="M2" s="3" t="s">
        <v>21</v>
      </c>
      <c r="N2" s="37" t="s">
        <v>213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 ht="37.5" customHeight="1" x14ac:dyDescent="0.25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35" t="s">
        <v>33</v>
      </c>
      <c r="I3" s="4" t="s">
        <v>34</v>
      </c>
      <c r="J3" s="4" t="s">
        <v>35</v>
      </c>
      <c r="K3" s="4" t="s">
        <v>36</v>
      </c>
      <c r="L3" s="35" t="s">
        <v>158</v>
      </c>
      <c r="M3" s="35" t="s">
        <v>159</v>
      </c>
      <c r="N3" s="35" t="s">
        <v>173</v>
      </c>
      <c r="O3" s="4" t="s">
        <v>37</v>
      </c>
      <c r="P3" s="4" t="s">
        <v>38</v>
      </c>
      <c r="Q3" s="4" t="s">
        <v>39</v>
      </c>
      <c r="R3" s="4" t="s">
        <v>40</v>
      </c>
    </row>
    <row r="4" spans="1:18" ht="19.5" customHeight="1" x14ac:dyDescent="0.25">
      <c r="A4" s="5">
        <v>1</v>
      </c>
      <c r="B4" s="5" t="s">
        <v>41</v>
      </c>
      <c r="C4" s="5" t="s">
        <v>42</v>
      </c>
      <c r="D4" s="5">
        <v>180</v>
      </c>
      <c r="E4" s="5" t="s">
        <v>43</v>
      </c>
      <c r="F4" s="5" t="s">
        <v>43</v>
      </c>
      <c r="G4" s="6" t="s">
        <v>102</v>
      </c>
      <c r="H4" s="7">
        <f t="shared" ref="H4:H68" si="0">IF(AND(D4&lt;&gt;"",I4&lt;&gt;"",ISNUMBER(I4)),ROUND(D4/I4,1),"")</f>
        <v>3.1</v>
      </c>
      <c r="I4" s="16">
        <v>57.5</v>
      </c>
      <c r="J4" s="31" t="s">
        <v>157</v>
      </c>
      <c r="K4" s="32">
        <v>37.99</v>
      </c>
      <c r="L4" s="36">
        <v>907</v>
      </c>
      <c r="M4" s="33" t="s">
        <v>162</v>
      </c>
      <c r="N4" s="33">
        <f>L4/28.3495</f>
        <v>31.993509585706981</v>
      </c>
      <c r="O4" s="9">
        <f>ROUND(N4,0)</f>
        <v>32</v>
      </c>
      <c r="P4" s="10">
        <f t="shared" ref="P4:P68" si="1">IF(AND(K4&lt;&gt;"",O4&lt;&gt;"",O4&lt;&gt;0),ROUND(K4/O4,4),"")</f>
        <v>1.1872</v>
      </c>
      <c r="Q4" s="11">
        <f t="shared" ref="Q4:Q68" si="2">IF(AND(P4&lt;&gt;"",H4&lt;&gt;"",ISNUMBER(P4)),ROUND(P4*H4,2),"")</f>
        <v>3.68</v>
      </c>
      <c r="R4" s="34" t="s">
        <v>165</v>
      </c>
    </row>
    <row r="5" spans="1:18" ht="19.5" customHeight="1" x14ac:dyDescent="0.25">
      <c r="A5" s="5">
        <v>2</v>
      </c>
      <c r="B5" s="5" t="s">
        <v>103</v>
      </c>
      <c r="C5" s="5" t="s">
        <v>42</v>
      </c>
      <c r="D5" s="5">
        <v>200</v>
      </c>
      <c r="E5" s="5" t="s">
        <v>44</v>
      </c>
      <c r="F5" s="5" t="s">
        <v>43</v>
      </c>
      <c r="G5" s="6" t="s">
        <v>104</v>
      </c>
      <c r="H5" s="7">
        <f t="shared" ref="H5:H41" si="3">IF(AND(D5&lt;&gt;"",I5&lt;&gt;"",ISNUMBER(I5)),ROUND(D5/I5,1),"")</f>
        <v>3.5</v>
      </c>
      <c r="I5" s="16">
        <v>57.5</v>
      </c>
      <c r="J5" s="8" t="s">
        <v>160</v>
      </c>
      <c r="K5" s="32">
        <v>12.99</v>
      </c>
      <c r="L5" s="36">
        <v>454</v>
      </c>
      <c r="M5" s="33" t="s">
        <v>162</v>
      </c>
      <c r="N5" s="33">
        <f t="shared" ref="N5:N41" si="4">L5/28.3495</f>
        <v>16.014391788214962</v>
      </c>
      <c r="O5" s="9">
        <f t="shared" ref="O5:O41" si="5">ROUND(N5,0)</f>
        <v>16</v>
      </c>
      <c r="P5" s="10">
        <f t="shared" ref="P5:P41" si="6">IF(AND(K5&lt;&gt;"",O5&lt;&gt;"",O5&lt;&gt;0),ROUND(K5/O5,4),"")</f>
        <v>0.81189999999999996</v>
      </c>
      <c r="Q5" s="11">
        <f t="shared" ref="Q5:Q41" si="7">IF(AND(P5&lt;&gt;"",H5&lt;&gt;"",ISNUMBER(P5)),ROUND(P5*H5,2),"")</f>
        <v>2.84</v>
      </c>
      <c r="R5" s="34" t="s">
        <v>163</v>
      </c>
    </row>
    <row r="6" spans="1:18" ht="19.5" customHeight="1" x14ac:dyDescent="0.25">
      <c r="A6" s="5">
        <v>3</v>
      </c>
      <c r="B6" s="5" t="s">
        <v>105</v>
      </c>
      <c r="C6" s="5" t="s">
        <v>42</v>
      </c>
      <c r="D6" s="5">
        <v>230</v>
      </c>
      <c r="E6" s="5" t="s">
        <v>43</v>
      </c>
      <c r="F6" s="5" t="s">
        <v>43</v>
      </c>
      <c r="G6" s="5" t="s">
        <v>148</v>
      </c>
      <c r="H6" s="7">
        <f t="shared" si="3"/>
        <v>4</v>
      </c>
      <c r="I6" s="16">
        <v>57.5</v>
      </c>
      <c r="J6" s="8" t="s">
        <v>161</v>
      </c>
      <c r="K6" s="32">
        <v>12.99</v>
      </c>
      <c r="L6" s="36">
        <v>454</v>
      </c>
      <c r="M6" s="33" t="s">
        <v>162</v>
      </c>
      <c r="N6" s="33">
        <f t="shared" si="4"/>
        <v>16.014391788214962</v>
      </c>
      <c r="O6" s="9">
        <f t="shared" si="5"/>
        <v>16</v>
      </c>
      <c r="P6" s="10">
        <f t="shared" si="6"/>
        <v>0.81189999999999996</v>
      </c>
      <c r="Q6" s="11">
        <f t="shared" si="7"/>
        <v>3.25</v>
      </c>
      <c r="R6" s="34" t="s">
        <v>164</v>
      </c>
    </row>
    <row r="7" spans="1:18" ht="19.5" customHeight="1" x14ac:dyDescent="0.25">
      <c r="A7" s="5">
        <v>4</v>
      </c>
      <c r="B7" s="5" t="s">
        <v>106</v>
      </c>
      <c r="C7" s="5" t="s">
        <v>42</v>
      </c>
      <c r="D7" s="5">
        <v>360</v>
      </c>
      <c r="E7" s="5" t="s">
        <v>43</v>
      </c>
      <c r="F7" s="5" t="s">
        <v>43</v>
      </c>
      <c r="G7" s="5" t="s">
        <v>106</v>
      </c>
      <c r="H7" s="7">
        <f t="shared" si="3"/>
        <v>5</v>
      </c>
      <c r="I7" s="16">
        <v>72.5</v>
      </c>
      <c r="J7" s="8" t="s">
        <v>171</v>
      </c>
      <c r="K7" s="32">
        <v>9.7899999999999991</v>
      </c>
      <c r="L7" s="36">
        <v>454</v>
      </c>
      <c r="M7" s="33" t="s">
        <v>162</v>
      </c>
      <c r="N7" s="33">
        <f t="shared" si="4"/>
        <v>16.014391788214962</v>
      </c>
      <c r="O7" s="9">
        <f t="shared" si="5"/>
        <v>16</v>
      </c>
      <c r="P7" s="10">
        <f t="shared" si="6"/>
        <v>0.6119</v>
      </c>
      <c r="Q7" s="11">
        <f t="shared" si="7"/>
        <v>3.06</v>
      </c>
      <c r="R7" s="12"/>
    </row>
    <row r="8" spans="1:18" ht="19.5" customHeight="1" x14ac:dyDescent="0.25">
      <c r="A8" s="5">
        <v>5</v>
      </c>
      <c r="B8" s="5" t="s">
        <v>107</v>
      </c>
      <c r="C8" s="5" t="s">
        <v>42</v>
      </c>
      <c r="D8" s="5">
        <v>190</v>
      </c>
      <c r="E8" s="5" t="s">
        <v>43</v>
      </c>
      <c r="F8" s="5" t="s">
        <v>44</v>
      </c>
      <c r="G8" s="5" t="s">
        <v>107</v>
      </c>
      <c r="H8" s="7">
        <f t="shared" si="3"/>
        <v>2.6</v>
      </c>
      <c r="I8" s="16">
        <v>72.5</v>
      </c>
      <c r="J8" s="8" t="s">
        <v>166</v>
      </c>
      <c r="K8" s="32">
        <v>25.99</v>
      </c>
      <c r="L8" s="36">
        <v>454</v>
      </c>
      <c r="M8" s="33" t="s">
        <v>162</v>
      </c>
      <c r="N8" s="33">
        <f t="shared" si="4"/>
        <v>16.014391788214962</v>
      </c>
      <c r="O8" s="9">
        <f t="shared" si="5"/>
        <v>16</v>
      </c>
      <c r="P8" s="10">
        <f t="shared" si="6"/>
        <v>1.6244000000000001</v>
      </c>
      <c r="Q8" s="11">
        <f t="shared" si="7"/>
        <v>4.22</v>
      </c>
      <c r="R8" s="12"/>
    </row>
    <row r="9" spans="1:18" ht="19.5" customHeight="1" x14ac:dyDescent="0.25">
      <c r="A9" s="5">
        <v>6</v>
      </c>
      <c r="B9" s="5" t="s">
        <v>108</v>
      </c>
      <c r="C9" s="5" t="s">
        <v>42</v>
      </c>
      <c r="D9" s="5">
        <v>280</v>
      </c>
      <c r="E9" s="5" t="s">
        <v>43</v>
      </c>
      <c r="F9" s="5" t="s">
        <v>44</v>
      </c>
      <c r="G9" s="6" t="s">
        <v>149</v>
      </c>
      <c r="H9" s="7">
        <f t="shared" si="3"/>
        <v>3.9</v>
      </c>
      <c r="I9" s="16">
        <v>72.5</v>
      </c>
      <c r="J9" s="8" t="s">
        <v>169</v>
      </c>
      <c r="K9" s="32">
        <v>22.86</v>
      </c>
      <c r="L9" s="36">
        <v>340</v>
      </c>
      <c r="M9" s="33" t="s">
        <v>162</v>
      </c>
      <c r="N9" s="33">
        <f t="shared" si="4"/>
        <v>11.993156845799749</v>
      </c>
      <c r="O9" s="9">
        <f t="shared" si="5"/>
        <v>12</v>
      </c>
      <c r="P9" s="10">
        <f t="shared" si="6"/>
        <v>1.905</v>
      </c>
      <c r="Q9" s="11">
        <f t="shared" si="7"/>
        <v>7.43</v>
      </c>
      <c r="R9" s="34" t="s">
        <v>170</v>
      </c>
    </row>
    <row r="10" spans="1:18" ht="19.5" customHeight="1" x14ac:dyDescent="0.25">
      <c r="A10" s="5">
        <v>7</v>
      </c>
      <c r="B10" s="5" t="s">
        <v>109</v>
      </c>
      <c r="C10" s="5" t="s">
        <v>42</v>
      </c>
      <c r="D10" s="5">
        <v>240</v>
      </c>
      <c r="E10" s="5" t="s">
        <v>43</v>
      </c>
      <c r="F10" s="5" t="s">
        <v>43</v>
      </c>
      <c r="G10" s="5" t="s">
        <v>109</v>
      </c>
      <c r="H10" s="7">
        <f t="shared" si="3"/>
        <v>3.3</v>
      </c>
      <c r="I10" s="16">
        <v>72.5</v>
      </c>
      <c r="J10" s="8" t="s">
        <v>168</v>
      </c>
      <c r="K10" s="32">
        <v>11.99</v>
      </c>
      <c r="L10" s="36">
        <v>453</v>
      </c>
      <c r="M10" s="33" t="s">
        <v>162</v>
      </c>
      <c r="N10" s="33">
        <f t="shared" si="4"/>
        <v>15.97911779749202</v>
      </c>
      <c r="O10" s="9">
        <f t="shared" si="5"/>
        <v>16</v>
      </c>
      <c r="P10" s="10">
        <f t="shared" si="6"/>
        <v>0.74939999999999996</v>
      </c>
      <c r="Q10" s="11">
        <f t="shared" si="7"/>
        <v>2.4700000000000002</v>
      </c>
      <c r="R10" s="12"/>
    </row>
    <row r="11" spans="1:18" ht="19.5" customHeight="1" x14ac:dyDescent="0.25">
      <c r="A11" s="5">
        <v>8</v>
      </c>
      <c r="B11" s="5" t="s">
        <v>110</v>
      </c>
      <c r="C11" s="5" t="s">
        <v>42</v>
      </c>
      <c r="D11" s="5">
        <v>300</v>
      </c>
      <c r="E11" s="5" t="s">
        <v>43</v>
      </c>
      <c r="F11" s="5" t="s">
        <v>44</v>
      </c>
      <c r="G11" s="6" t="s">
        <v>111</v>
      </c>
      <c r="H11" s="7">
        <f t="shared" si="3"/>
        <v>4.0999999999999996</v>
      </c>
      <c r="I11" s="16">
        <v>72.5</v>
      </c>
      <c r="J11" s="8" t="s">
        <v>167</v>
      </c>
      <c r="K11" s="32">
        <v>18.989999999999998</v>
      </c>
      <c r="L11" s="36">
        <v>454</v>
      </c>
      <c r="M11" s="33" t="s">
        <v>162</v>
      </c>
      <c r="N11" s="33">
        <f t="shared" si="4"/>
        <v>16.014391788214962</v>
      </c>
      <c r="O11" s="9">
        <f t="shared" si="5"/>
        <v>16</v>
      </c>
      <c r="P11" s="10">
        <f t="shared" si="6"/>
        <v>1.1869000000000001</v>
      </c>
      <c r="Q11" s="11">
        <f t="shared" si="7"/>
        <v>4.87</v>
      </c>
      <c r="R11" s="12"/>
    </row>
    <row r="12" spans="1:18" ht="19.5" customHeight="1" x14ac:dyDescent="0.25">
      <c r="A12" s="5">
        <v>9</v>
      </c>
      <c r="B12" s="5" t="s">
        <v>112</v>
      </c>
      <c r="C12" s="5" t="s">
        <v>42</v>
      </c>
      <c r="D12" s="5">
        <v>240</v>
      </c>
      <c r="E12" s="5" t="s">
        <v>43</v>
      </c>
      <c r="F12" s="5" t="s">
        <v>44</v>
      </c>
      <c r="G12" s="5" t="s">
        <v>112</v>
      </c>
      <c r="H12" s="7">
        <f t="shared" si="3"/>
        <v>3.3</v>
      </c>
      <c r="I12" s="16">
        <v>72.5</v>
      </c>
      <c r="J12" s="8" t="s">
        <v>172</v>
      </c>
      <c r="K12" s="32">
        <v>23.49</v>
      </c>
      <c r="L12" s="36">
        <v>227</v>
      </c>
      <c r="M12" s="33" t="s">
        <v>162</v>
      </c>
      <c r="N12" s="33">
        <f t="shared" si="4"/>
        <v>8.0071958941074808</v>
      </c>
      <c r="O12" s="9">
        <f t="shared" si="5"/>
        <v>8</v>
      </c>
      <c r="P12" s="10">
        <f t="shared" si="6"/>
        <v>2.9363000000000001</v>
      </c>
      <c r="Q12" s="11">
        <f t="shared" si="7"/>
        <v>9.69</v>
      </c>
      <c r="R12" s="12"/>
    </row>
    <row r="13" spans="1:18" ht="19.5" customHeight="1" x14ac:dyDescent="0.25">
      <c r="A13" s="5">
        <v>10</v>
      </c>
      <c r="B13" s="5" t="s">
        <v>113</v>
      </c>
      <c r="C13" s="5" t="s">
        <v>48</v>
      </c>
      <c r="D13" s="5">
        <v>120</v>
      </c>
      <c r="E13" s="5" t="s">
        <v>43</v>
      </c>
      <c r="F13" s="5" t="s">
        <v>43</v>
      </c>
      <c r="G13" s="6" t="s">
        <v>150</v>
      </c>
      <c r="H13" s="7">
        <f t="shared" si="3"/>
        <v>2.4</v>
      </c>
      <c r="I13" s="16">
        <v>50</v>
      </c>
      <c r="J13" s="8" t="s">
        <v>178</v>
      </c>
      <c r="K13" s="32">
        <v>15.99</v>
      </c>
      <c r="L13" s="36">
        <v>907</v>
      </c>
      <c r="M13" s="33" t="s">
        <v>162</v>
      </c>
      <c r="N13" s="33">
        <f t="shared" si="4"/>
        <v>31.993509585706981</v>
      </c>
      <c r="O13" s="9">
        <f t="shared" si="5"/>
        <v>32</v>
      </c>
      <c r="P13" s="10">
        <f t="shared" si="6"/>
        <v>0.49969999999999998</v>
      </c>
      <c r="Q13" s="11">
        <f t="shared" si="7"/>
        <v>1.2</v>
      </c>
      <c r="R13" s="34" t="s">
        <v>179</v>
      </c>
    </row>
    <row r="14" spans="1:18" ht="19.5" customHeight="1" x14ac:dyDescent="0.25">
      <c r="A14" s="5">
        <v>11</v>
      </c>
      <c r="B14" s="5" t="s">
        <v>114</v>
      </c>
      <c r="C14" s="5" t="s">
        <v>48</v>
      </c>
      <c r="D14" s="5">
        <v>130</v>
      </c>
      <c r="E14" s="5" t="s">
        <v>44</v>
      </c>
      <c r="F14" s="5" t="s">
        <v>43</v>
      </c>
      <c r="G14" s="6" t="s">
        <v>151</v>
      </c>
      <c r="H14" s="7">
        <f t="shared" si="3"/>
        <v>2.6</v>
      </c>
      <c r="I14" s="16">
        <v>50</v>
      </c>
      <c r="J14" s="8" t="s">
        <v>180</v>
      </c>
      <c r="K14" s="32">
        <v>7.49</v>
      </c>
      <c r="L14" s="36">
        <v>340</v>
      </c>
      <c r="M14" s="33" t="s">
        <v>162</v>
      </c>
      <c r="N14" s="33">
        <f t="shared" si="4"/>
        <v>11.993156845799749</v>
      </c>
      <c r="O14" s="9">
        <f t="shared" si="5"/>
        <v>12</v>
      </c>
      <c r="P14" s="10">
        <f t="shared" si="6"/>
        <v>0.62419999999999998</v>
      </c>
      <c r="Q14" s="11">
        <f t="shared" si="7"/>
        <v>1.62</v>
      </c>
      <c r="R14" s="34" t="s">
        <v>181</v>
      </c>
    </row>
    <row r="15" spans="1:18" ht="19.5" customHeight="1" x14ac:dyDescent="0.25">
      <c r="A15" s="5">
        <v>12</v>
      </c>
      <c r="B15" s="5" t="s">
        <v>47</v>
      </c>
      <c r="C15" s="5" t="s">
        <v>48</v>
      </c>
      <c r="D15" s="5">
        <v>150</v>
      </c>
      <c r="E15" s="5" t="s">
        <v>43</v>
      </c>
      <c r="F15" s="5" t="s">
        <v>43</v>
      </c>
      <c r="G15" s="6" t="s">
        <v>49</v>
      </c>
      <c r="H15" s="7">
        <f t="shared" si="3"/>
        <v>3</v>
      </c>
      <c r="I15" s="16">
        <v>50</v>
      </c>
      <c r="J15" s="8" t="s">
        <v>182</v>
      </c>
      <c r="K15" s="32">
        <v>8.99</v>
      </c>
      <c r="L15" s="36">
        <v>510</v>
      </c>
      <c r="M15" s="33" t="s">
        <v>162</v>
      </c>
      <c r="N15" s="33">
        <f t="shared" si="4"/>
        <v>17.989735268699626</v>
      </c>
      <c r="O15" s="9">
        <f t="shared" si="5"/>
        <v>18</v>
      </c>
      <c r="P15" s="10">
        <f t="shared" si="6"/>
        <v>0.49940000000000001</v>
      </c>
      <c r="Q15" s="11">
        <f t="shared" si="7"/>
        <v>1.5</v>
      </c>
      <c r="R15" s="34" t="s">
        <v>183</v>
      </c>
    </row>
    <row r="16" spans="1:18" ht="19.5" customHeight="1" x14ac:dyDescent="0.25">
      <c r="A16" s="5">
        <v>13</v>
      </c>
      <c r="B16" s="5" t="s">
        <v>123</v>
      </c>
      <c r="C16" s="5" t="s">
        <v>46</v>
      </c>
      <c r="D16" s="5">
        <v>210</v>
      </c>
      <c r="E16" s="5" t="s">
        <v>43</v>
      </c>
      <c r="F16" s="5" t="s">
        <v>44</v>
      </c>
      <c r="G16" s="6" t="s">
        <v>122</v>
      </c>
      <c r="H16" s="7">
        <f t="shared" si="3"/>
        <v>3.4</v>
      </c>
      <c r="I16" s="16">
        <v>62.5</v>
      </c>
      <c r="J16" s="8" t="s">
        <v>177</v>
      </c>
      <c r="K16" s="32">
        <v>7.99</v>
      </c>
      <c r="L16" s="36">
        <v>454</v>
      </c>
      <c r="M16" s="33" t="s">
        <v>162</v>
      </c>
      <c r="N16" s="33">
        <f t="shared" si="4"/>
        <v>16.014391788214962</v>
      </c>
      <c r="O16" s="9">
        <f t="shared" si="5"/>
        <v>16</v>
      </c>
      <c r="P16" s="10">
        <f t="shared" si="6"/>
        <v>0.49940000000000001</v>
      </c>
      <c r="Q16" s="11">
        <f t="shared" si="7"/>
        <v>1.7</v>
      </c>
      <c r="R16" s="12"/>
    </row>
    <row r="17" spans="1:18" ht="19.5" customHeight="1" x14ac:dyDescent="0.25">
      <c r="A17" s="5">
        <v>14</v>
      </c>
      <c r="B17" s="5" t="s">
        <v>61</v>
      </c>
      <c r="C17" s="5" t="s">
        <v>46</v>
      </c>
      <c r="D17" s="5">
        <v>330</v>
      </c>
      <c r="E17" s="5" t="s">
        <v>43</v>
      </c>
      <c r="F17" s="5" t="s">
        <v>43</v>
      </c>
      <c r="G17" s="6" t="s">
        <v>121</v>
      </c>
      <c r="H17" s="7">
        <f t="shared" si="3"/>
        <v>3.6</v>
      </c>
      <c r="I17" s="16">
        <v>92.5</v>
      </c>
      <c r="J17" s="8" t="s">
        <v>175</v>
      </c>
      <c r="K17" s="32">
        <v>13.99</v>
      </c>
      <c r="L17" s="36">
        <v>907</v>
      </c>
      <c r="M17" s="33" t="s">
        <v>162</v>
      </c>
      <c r="N17" s="33">
        <f t="shared" si="4"/>
        <v>31.993509585706981</v>
      </c>
      <c r="O17" s="9">
        <f t="shared" si="5"/>
        <v>32</v>
      </c>
      <c r="P17" s="10">
        <f t="shared" si="6"/>
        <v>0.43719999999999998</v>
      </c>
      <c r="Q17" s="11">
        <f t="shared" si="7"/>
        <v>1.57</v>
      </c>
      <c r="R17" s="12"/>
    </row>
    <row r="18" spans="1:18" ht="19.5" customHeight="1" x14ac:dyDescent="0.25">
      <c r="A18" s="5">
        <v>15</v>
      </c>
      <c r="B18" s="5" t="s">
        <v>45</v>
      </c>
      <c r="C18" s="5" t="s">
        <v>46</v>
      </c>
      <c r="D18" s="5">
        <v>330</v>
      </c>
      <c r="E18" s="5" t="s">
        <v>44</v>
      </c>
      <c r="F18" s="5" t="s">
        <v>43</v>
      </c>
      <c r="G18" s="6" t="s">
        <v>120</v>
      </c>
      <c r="H18" s="7">
        <f t="shared" si="3"/>
        <v>3.6</v>
      </c>
      <c r="I18" s="16">
        <v>92.5</v>
      </c>
      <c r="J18" s="8" t="s">
        <v>176</v>
      </c>
      <c r="K18" s="32">
        <v>15.99</v>
      </c>
      <c r="L18" s="36">
        <v>907</v>
      </c>
      <c r="M18" s="33" t="s">
        <v>162</v>
      </c>
      <c r="N18" s="33">
        <f t="shared" si="4"/>
        <v>31.993509585706981</v>
      </c>
      <c r="O18" s="9">
        <f t="shared" si="5"/>
        <v>32</v>
      </c>
      <c r="P18" s="10">
        <f t="shared" si="6"/>
        <v>0.49969999999999998</v>
      </c>
      <c r="Q18" s="11">
        <f t="shared" si="7"/>
        <v>1.8</v>
      </c>
      <c r="R18" s="12"/>
    </row>
    <row r="19" spans="1:18" ht="19.5" customHeight="1" x14ac:dyDescent="0.25">
      <c r="A19" s="5">
        <v>16</v>
      </c>
      <c r="B19" s="5" t="s">
        <v>115</v>
      </c>
      <c r="C19" s="5" t="s">
        <v>46</v>
      </c>
      <c r="D19" s="5">
        <v>320</v>
      </c>
      <c r="E19" s="5" t="s">
        <v>43</v>
      </c>
      <c r="F19" s="5" t="s">
        <v>43</v>
      </c>
      <c r="G19" s="6" t="s">
        <v>119</v>
      </c>
      <c r="H19" s="7">
        <f t="shared" si="3"/>
        <v>3.5</v>
      </c>
      <c r="I19" s="16">
        <v>92.5</v>
      </c>
      <c r="J19" s="31" t="s">
        <v>176</v>
      </c>
      <c r="K19" s="32">
        <v>15.99</v>
      </c>
      <c r="L19" s="36">
        <v>907</v>
      </c>
      <c r="M19" s="33" t="s">
        <v>162</v>
      </c>
      <c r="N19" s="33">
        <f t="shared" ref="N19" si="8">L19/28.3495</f>
        <v>31.993509585706981</v>
      </c>
      <c r="O19" s="9">
        <f t="shared" ref="O19" si="9">ROUND(N19,0)</f>
        <v>32</v>
      </c>
      <c r="P19" s="10">
        <f t="shared" ref="P19" si="10">IF(AND(K19&lt;&gt;"",O19&lt;&gt;"",O19&lt;&gt;0),ROUND(K19/O19,4),"")</f>
        <v>0.49969999999999998</v>
      </c>
      <c r="Q19" s="11">
        <f t="shared" ref="Q19" si="11">IF(AND(P19&lt;&gt;"",H19&lt;&gt;"",ISNUMBER(P19)),ROUND(P19*H19,2),"")</f>
        <v>1.75</v>
      </c>
      <c r="R19" s="34" t="s">
        <v>184</v>
      </c>
    </row>
    <row r="20" spans="1:18" ht="19.5" customHeight="1" x14ac:dyDescent="0.25">
      <c r="A20" s="5">
        <v>17</v>
      </c>
      <c r="B20" s="5" t="s">
        <v>116</v>
      </c>
      <c r="C20" s="5" t="s">
        <v>46</v>
      </c>
      <c r="D20" s="5">
        <v>340</v>
      </c>
      <c r="E20" s="5" t="s">
        <v>43</v>
      </c>
      <c r="F20" s="5" t="s">
        <v>43</v>
      </c>
      <c r="G20" s="6" t="s">
        <v>117</v>
      </c>
      <c r="H20" s="7">
        <f t="shared" si="3"/>
        <v>3.7</v>
      </c>
      <c r="I20" s="16">
        <v>92.5</v>
      </c>
      <c r="J20" s="8" t="s">
        <v>185</v>
      </c>
      <c r="K20" s="32">
        <v>13.99</v>
      </c>
      <c r="L20" s="36">
        <v>907</v>
      </c>
      <c r="M20" s="33" t="s">
        <v>162</v>
      </c>
      <c r="N20" s="33">
        <f t="shared" si="4"/>
        <v>31.993509585706981</v>
      </c>
      <c r="O20" s="9">
        <f t="shared" si="5"/>
        <v>32</v>
      </c>
      <c r="P20" s="10">
        <f t="shared" si="6"/>
        <v>0.43719999999999998</v>
      </c>
      <c r="Q20" s="11">
        <f t="shared" si="7"/>
        <v>1.62</v>
      </c>
      <c r="R20" s="34" t="s">
        <v>186</v>
      </c>
    </row>
    <row r="21" spans="1:18" ht="19.5" customHeight="1" x14ac:dyDescent="0.25">
      <c r="A21" s="5">
        <v>18</v>
      </c>
      <c r="B21" s="5" t="s">
        <v>118</v>
      </c>
      <c r="C21" s="5" t="s">
        <v>46</v>
      </c>
      <c r="D21" s="5">
        <v>330</v>
      </c>
      <c r="E21" s="5" t="s">
        <v>43</v>
      </c>
      <c r="F21" s="5" t="s">
        <v>43</v>
      </c>
      <c r="G21" s="6" t="s">
        <v>152</v>
      </c>
      <c r="H21" s="7">
        <f t="shared" si="3"/>
        <v>3.6</v>
      </c>
      <c r="I21" s="16">
        <v>92.5</v>
      </c>
      <c r="J21" s="8" t="s">
        <v>174</v>
      </c>
      <c r="K21" s="32">
        <v>7.99</v>
      </c>
      <c r="L21" s="36">
        <v>454</v>
      </c>
      <c r="M21" s="33" t="s">
        <v>162</v>
      </c>
      <c r="N21" s="33">
        <f t="shared" si="4"/>
        <v>16.014391788214962</v>
      </c>
      <c r="O21" s="9">
        <f t="shared" si="5"/>
        <v>16</v>
      </c>
      <c r="P21" s="10">
        <f t="shared" si="6"/>
        <v>0.49940000000000001</v>
      </c>
      <c r="Q21" s="11">
        <f t="shared" si="7"/>
        <v>1.8</v>
      </c>
      <c r="R21" s="12"/>
    </row>
    <row r="22" spans="1:18" ht="19.5" customHeight="1" x14ac:dyDescent="0.25">
      <c r="A22" s="5">
        <v>19</v>
      </c>
      <c r="B22" s="5" t="s">
        <v>124</v>
      </c>
      <c r="C22" s="5" t="s">
        <v>51</v>
      </c>
      <c r="D22" s="5">
        <v>110</v>
      </c>
      <c r="E22" s="5" t="s">
        <v>44</v>
      </c>
      <c r="F22" s="5" t="s">
        <v>43</v>
      </c>
      <c r="G22" s="6" t="s">
        <v>125</v>
      </c>
      <c r="H22" s="7">
        <f t="shared" si="3"/>
        <v>4.2</v>
      </c>
      <c r="I22" s="16">
        <v>26</v>
      </c>
      <c r="J22" s="8" t="s">
        <v>187</v>
      </c>
      <c r="K22" s="32">
        <v>6.99</v>
      </c>
      <c r="L22" s="36">
        <v>300</v>
      </c>
      <c r="M22" s="33" t="s">
        <v>162</v>
      </c>
      <c r="N22" s="33">
        <f t="shared" si="4"/>
        <v>10.582197216882133</v>
      </c>
      <c r="O22" s="9">
        <f t="shared" si="5"/>
        <v>11</v>
      </c>
      <c r="P22" s="10">
        <f t="shared" si="6"/>
        <v>0.63549999999999995</v>
      </c>
      <c r="Q22" s="11">
        <f t="shared" si="7"/>
        <v>2.67</v>
      </c>
      <c r="R22" s="34" t="s">
        <v>188</v>
      </c>
    </row>
    <row r="23" spans="1:18" ht="19.5" customHeight="1" x14ac:dyDescent="0.25">
      <c r="A23" s="5">
        <v>20</v>
      </c>
      <c r="B23" s="5" t="s">
        <v>126</v>
      </c>
      <c r="C23" s="5" t="s">
        <v>51</v>
      </c>
      <c r="D23" s="5">
        <v>100</v>
      </c>
      <c r="E23" s="5" t="s">
        <v>44</v>
      </c>
      <c r="F23" s="5" t="s">
        <v>43</v>
      </c>
      <c r="G23" s="6" t="s">
        <v>127</v>
      </c>
      <c r="H23" s="7">
        <f t="shared" si="3"/>
        <v>3.3</v>
      </c>
      <c r="I23" s="16">
        <v>30</v>
      </c>
      <c r="J23" s="8" t="s">
        <v>189</v>
      </c>
      <c r="K23" s="32">
        <v>9.99</v>
      </c>
      <c r="L23" s="36">
        <v>311</v>
      </c>
      <c r="M23" s="33" t="s">
        <v>162</v>
      </c>
      <c r="N23" s="33">
        <f t="shared" si="4"/>
        <v>10.970211114834477</v>
      </c>
      <c r="O23" s="9">
        <f t="shared" si="5"/>
        <v>11</v>
      </c>
      <c r="P23" s="10">
        <f t="shared" si="6"/>
        <v>0.90820000000000001</v>
      </c>
      <c r="Q23" s="11">
        <f t="shared" si="7"/>
        <v>3</v>
      </c>
      <c r="R23" s="34" t="s">
        <v>190</v>
      </c>
    </row>
    <row r="24" spans="1:18" ht="19.5" customHeight="1" x14ac:dyDescent="0.25">
      <c r="A24" s="5">
        <v>21</v>
      </c>
      <c r="B24" s="5" t="s">
        <v>128</v>
      </c>
      <c r="C24" s="5" t="s">
        <v>51</v>
      </c>
      <c r="D24" s="5">
        <v>80</v>
      </c>
      <c r="E24" s="5" t="s">
        <v>43</v>
      </c>
      <c r="F24" s="5" t="s">
        <v>43</v>
      </c>
      <c r="G24" s="5" t="s">
        <v>128</v>
      </c>
      <c r="H24" s="7">
        <f t="shared" si="3"/>
        <v>3.3</v>
      </c>
      <c r="I24" s="16">
        <v>24</v>
      </c>
      <c r="J24" s="8" t="s">
        <v>191</v>
      </c>
      <c r="K24" s="32">
        <v>5.99</v>
      </c>
      <c r="L24" s="36">
        <v>453</v>
      </c>
      <c r="M24" s="33" t="s">
        <v>162</v>
      </c>
      <c r="N24" s="33">
        <f t="shared" si="4"/>
        <v>15.97911779749202</v>
      </c>
      <c r="O24" s="9">
        <f t="shared" si="5"/>
        <v>16</v>
      </c>
      <c r="P24" s="10">
        <f t="shared" si="6"/>
        <v>0.37440000000000001</v>
      </c>
      <c r="Q24" s="11">
        <f t="shared" si="7"/>
        <v>1.24</v>
      </c>
      <c r="R24" s="12"/>
    </row>
    <row r="25" spans="1:18" ht="19.5" customHeight="1" x14ac:dyDescent="0.25">
      <c r="A25" s="5">
        <v>22</v>
      </c>
      <c r="B25" s="5" t="s">
        <v>129</v>
      </c>
      <c r="C25" s="5" t="s">
        <v>51</v>
      </c>
      <c r="D25" s="5">
        <v>90</v>
      </c>
      <c r="E25" s="5" t="s">
        <v>43</v>
      </c>
      <c r="F25" s="5" t="s">
        <v>43</v>
      </c>
      <c r="G25" s="6" t="s">
        <v>130</v>
      </c>
      <c r="H25" s="7">
        <f t="shared" si="3"/>
        <v>3</v>
      </c>
      <c r="I25" s="16">
        <v>30</v>
      </c>
      <c r="J25" s="8" t="s">
        <v>192</v>
      </c>
      <c r="K25" s="32">
        <v>12.99</v>
      </c>
      <c r="L25" s="36">
        <v>454</v>
      </c>
      <c r="M25" s="33" t="s">
        <v>162</v>
      </c>
      <c r="N25" s="33">
        <f t="shared" si="4"/>
        <v>16.014391788214962</v>
      </c>
      <c r="O25" s="9">
        <f t="shared" si="5"/>
        <v>16</v>
      </c>
      <c r="P25" s="10">
        <f t="shared" si="6"/>
        <v>0.81189999999999996</v>
      </c>
      <c r="Q25" s="11">
        <f t="shared" si="7"/>
        <v>2.44</v>
      </c>
      <c r="R25" s="34" t="s">
        <v>193</v>
      </c>
    </row>
    <row r="26" spans="1:18" ht="19.5" customHeight="1" x14ac:dyDescent="0.25">
      <c r="A26" s="5">
        <v>23</v>
      </c>
      <c r="B26" s="5" t="s">
        <v>131</v>
      </c>
      <c r="C26" s="5" t="s">
        <v>51</v>
      </c>
      <c r="D26" s="5">
        <v>90</v>
      </c>
      <c r="E26" s="5" t="s">
        <v>43</v>
      </c>
      <c r="F26" s="5" t="s">
        <v>44</v>
      </c>
      <c r="G26" s="5" t="s">
        <v>131</v>
      </c>
      <c r="H26" s="7">
        <f t="shared" si="3"/>
        <v>3</v>
      </c>
      <c r="I26" s="16">
        <v>30</v>
      </c>
      <c r="J26" s="31" t="s">
        <v>211</v>
      </c>
      <c r="K26" s="32">
        <v>9.99</v>
      </c>
      <c r="L26" s="36">
        <v>907</v>
      </c>
      <c r="M26" s="33" t="s">
        <v>162</v>
      </c>
      <c r="N26" s="33">
        <f t="shared" si="4"/>
        <v>31.993509585706981</v>
      </c>
      <c r="O26" s="9">
        <f t="shared" si="5"/>
        <v>32</v>
      </c>
      <c r="P26" s="10">
        <f t="shared" si="6"/>
        <v>0.31219999999999998</v>
      </c>
      <c r="Q26" s="11">
        <f t="shared" si="7"/>
        <v>0.94</v>
      </c>
      <c r="R26" s="12"/>
    </row>
    <row r="27" spans="1:18" ht="19.5" customHeight="1" x14ac:dyDescent="0.25">
      <c r="A27" s="5">
        <v>24</v>
      </c>
      <c r="B27" s="5" t="s">
        <v>132</v>
      </c>
      <c r="C27" s="5" t="s">
        <v>51</v>
      </c>
      <c r="D27" s="5">
        <v>90</v>
      </c>
      <c r="E27" s="5" t="s">
        <v>44</v>
      </c>
      <c r="F27" s="5" t="s">
        <v>44</v>
      </c>
      <c r="G27" s="6" t="s">
        <v>133</v>
      </c>
      <c r="H27" s="7">
        <f t="shared" si="3"/>
        <v>3.5</v>
      </c>
      <c r="I27" s="16">
        <v>26</v>
      </c>
      <c r="J27" s="8" t="s">
        <v>194</v>
      </c>
      <c r="K27" s="32">
        <v>13.99</v>
      </c>
      <c r="L27" s="36">
        <v>907</v>
      </c>
      <c r="M27" s="33" t="s">
        <v>162</v>
      </c>
      <c r="N27" s="33">
        <f t="shared" si="4"/>
        <v>31.993509585706981</v>
      </c>
      <c r="O27" s="9">
        <f t="shared" si="5"/>
        <v>32</v>
      </c>
      <c r="P27" s="10">
        <f t="shared" si="6"/>
        <v>0.43719999999999998</v>
      </c>
      <c r="Q27" s="11">
        <f t="shared" si="7"/>
        <v>1.53</v>
      </c>
      <c r="R27" s="34" t="s">
        <v>193</v>
      </c>
    </row>
    <row r="28" spans="1:18" ht="19.5" customHeight="1" x14ac:dyDescent="0.25">
      <c r="A28" s="5">
        <v>25</v>
      </c>
      <c r="B28" s="5" t="s">
        <v>134</v>
      </c>
      <c r="C28" s="5" t="s">
        <v>51</v>
      </c>
      <c r="D28" s="5">
        <v>170</v>
      </c>
      <c r="E28" s="5" t="s">
        <v>44</v>
      </c>
      <c r="F28" s="5" t="s">
        <v>44</v>
      </c>
      <c r="G28" s="6" t="s">
        <v>135</v>
      </c>
      <c r="H28" s="7">
        <f t="shared" si="3"/>
        <v>4.3</v>
      </c>
      <c r="I28" s="16">
        <v>40</v>
      </c>
      <c r="J28" s="8" t="s">
        <v>195</v>
      </c>
      <c r="K28" s="32">
        <v>8.99</v>
      </c>
      <c r="L28" s="36">
        <v>407</v>
      </c>
      <c r="M28" s="33" t="s">
        <v>162</v>
      </c>
      <c r="N28" s="33">
        <f t="shared" si="4"/>
        <v>14.35651422423676</v>
      </c>
      <c r="O28" s="9">
        <f t="shared" si="5"/>
        <v>14</v>
      </c>
      <c r="P28" s="10">
        <f t="shared" si="6"/>
        <v>0.6421</v>
      </c>
      <c r="Q28" s="11">
        <f t="shared" si="7"/>
        <v>2.76</v>
      </c>
      <c r="R28" s="34" t="s">
        <v>196</v>
      </c>
    </row>
    <row r="29" spans="1:18" ht="19.5" customHeight="1" x14ac:dyDescent="0.25">
      <c r="A29" s="5">
        <v>26</v>
      </c>
      <c r="B29" s="5" t="s">
        <v>136</v>
      </c>
      <c r="C29" s="5" t="s">
        <v>93</v>
      </c>
      <c r="D29" s="5">
        <v>20</v>
      </c>
      <c r="E29" s="5" t="s">
        <v>43</v>
      </c>
      <c r="F29" s="5" t="s">
        <v>43</v>
      </c>
      <c r="G29" s="5" t="s">
        <v>136</v>
      </c>
      <c r="H29" s="7">
        <f t="shared" si="3"/>
        <v>1.3</v>
      </c>
      <c r="I29" s="16">
        <v>15</v>
      </c>
      <c r="J29" s="31" t="s">
        <v>136</v>
      </c>
      <c r="K29" s="32">
        <v>1.99</v>
      </c>
      <c r="L29" s="36">
        <v>85</v>
      </c>
      <c r="M29" s="33" t="s">
        <v>162</v>
      </c>
      <c r="N29" s="33">
        <f t="shared" si="4"/>
        <v>2.9982892114499373</v>
      </c>
      <c r="O29" s="9">
        <f t="shared" si="5"/>
        <v>3</v>
      </c>
      <c r="P29" s="10">
        <f t="shared" si="6"/>
        <v>0.6633</v>
      </c>
      <c r="Q29" s="11">
        <f t="shared" si="7"/>
        <v>0.86</v>
      </c>
      <c r="R29" s="34" t="s">
        <v>197</v>
      </c>
    </row>
    <row r="30" spans="1:18" ht="19.5" customHeight="1" x14ac:dyDescent="0.25">
      <c r="A30" s="5">
        <v>27</v>
      </c>
      <c r="B30" s="5" t="s">
        <v>137</v>
      </c>
      <c r="C30" s="5" t="s">
        <v>93</v>
      </c>
      <c r="D30" s="5">
        <v>20</v>
      </c>
      <c r="E30" s="5" t="s">
        <v>43</v>
      </c>
      <c r="F30" s="5" t="s">
        <v>43</v>
      </c>
      <c r="G30" s="5" t="s">
        <v>137</v>
      </c>
      <c r="H30" s="7">
        <f t="shared" si="3"/>
        <v>1.3</v>
      </c>
      <c r="I30" s="16">
        <v>15</v>
      </c>
      <c r="J30" s="8" t="s">
        <v>198</v>
      </c>
      <c r="K30" s="32">
        <v>3.29</v>
      </c>
      <c r="L30" s="36">
        <v>822</v>
      </c>
      <c r="M30" s="33" t="s">
        <v>162</v>
      </c>
      <c r="N30" s="33">
        <f t="shared" si="4"/>
        <v>28.995220374257041</v>
      </c>
      <c r="O30" s="9">
        <f t="shared" si="5"/>
        <v>29</v>
      </c>
      <c r="P30" s="10">
        <f t="shared" si="6"/>
        <v>0.1134</v>
      </c>
      <c r="Q30" s="11">
        <f t="shared" si="7"/>
        <v>0.15</v>
      </c>
      <c r="R30" s="34" t="s">
        <v>197</v>
      </c>
    </row>
    <row r="31" spans="1:18" ht="19.5" customHeight="1" x14ac:dyDescent="0.25">
      <c r="A31" s="5">
        <v>28</v>
      </c>
      <c r="B31" s="5" t="s">
        <v>138</v>
      </c>
      <c r="C31" s="5" t="s">
        <v>93</v>
      </c>
      <c r="D31" s="5">
        <v>70</v>
      </c>
      <c r="E31" s="5" t="s">
        <v>43</v>
      </c>
      <c r="F31" s="5" t="s">
        <v>43</v>
      </c>
      <c r="G31" s="5" t="s">
        <v>138</v>
      </c>
      <c r="H31" s="7">
        <f t="shared" si="3"/>
        <v>4.7</v>
      </c>
      <c r="I31" s="16">
        <v>15</v>
      </c>
      <c r="J31" s="8" t="s">
        <v>199</v>
      </c>
      <c r="K31" s="32">
        <v>0.74</v>
      </c>
      <c r="L31" s="36">
        <v>110</v>
      </c>
      <c r="M31" s="33" t="s">
        <v>162</v>
      </c>
      <c r="N31" s="33">
        <f t="shared" si="4"/>
        <v>3.8801389795234487</v>
      </c>
      <c r="O31" s="9">
        <f t="shared" si="5"/>
        <v>4</v>
      </c>
      <c r="P31" s="10">
        <f t="shared" si="6"/>
        <v>0.185</v>
      </c>
      <c r="Q31" s="11">
        <f t="shared" si="7"/>
        <v>0.87</v>
      </c>
      <c r="R31" s="12"/>
    </row>
    <row r="32" spans="1:18" ht="19.5" customHeight="1" x14ac:dyDescent="0.25">
      <c r="A32" s="5">
        <v>29</v>
      </c>
      <c r="B32" s="5" t="s">
        <v>139</v>
      </c>
      <c r="C32" s="5" t="s">
        <v>93</v>
      </c>
      <c r="D32" s="5">
        <v>70</v>
      </c>
      <c r="E32" s="5" t="s">
        <v>43</v>
      </c>
      <c r="F32" s="5" t="s">
        <v>43</v>
      </c>
      <c r="G32" s="5" t="s">
        <v>139</v>
      </c>
      <c r="H32" s="7">
        <f t="shared" si="3"/>
        <v>4.7</v>
      </c>
      <c r="I32" s="16">
        <v>15</v>
      </c>
      <c r="J32" s="31" t="s">
        <v>139</v>
      </c>
      <c r="K32" s="32">
        <v>1.04</v>
      </c>
      <c r="L32" s="36">
        <v>110</v>
      </c>
      <c r="M32" s="33" t="s">
        <v>162</v>
      </c>
      <c r="N32" s="33">
        <f t="shared" si="4"/>
        <v>3.8801389795234487</v>
      </c>
      <c r="O32" s="9">
        <f t="shared" si="5"/>
        <v>4</v>
      </c>
      <c r="P32" s="10">
        <f t="shared" si="6"/>
        <v>0.26</v>
      </c>
      <c r="Q32" s="11">
        <f t="shared" si="7"/>
        <v>1.22</v>
      </c>
      <c r="R32" s="12"/>
    </row>
    <row r="33" spans="1:18" ht="19.5" customHeight="1" x14ac:dyDescent="0.25">
      <c r="A33" s="5">
        <v>30</v>
      </c>
      <c r="B33" s="5" t="s">
        <v>140</v>
      </c>
      <c r="C33" s="5" t="s">
        <v>93</v>
      </c>
      <c r="D33" s="5">
        <v>15</v>
      </c>
      <c r="E33" s="5" t="s">
        <v>43</v>
      </c>
      <c r="F33" s="5" t="s">
        <v>43</v>
      </c>
      <c r="G33" s="5" t="s">
        <v>140</v>
      </c>
      <c r="H33" s="7">
        <f t="shared" si="3"/>
        <v>1</v>
      </c>
      <c r="I33" s="16">
        <v>15</v>
      </c>
      <c r="J33" s="31" t="s">
        <v>140</v>
      </c>
      <c r="K33" s="32">
        <v>0.9</v>
      </c>
      <c r="L33" s="36">
        <v>85</v>
      </c>
      <c r="M33" s="33" t="s">
        <v>162</v>
      </c>
      <c r="N33" s="33">
        <f t="shared" si="4"/>
        <v>2.9982892114499373</v>
      </c>
      <c r="O33" s="9">
        <f t="shared" si="5"/>
        <v>3</v>
      </c>
      <c r="P33" s="10">
        <f t="shared" si="6"/>
        <v>0.3</v>
      </c>
      <c r="Q33" s="11">
        <f t="shared" si="7"/>
        <v>0.3</v>
      </c>
      <c r="R33" s="12"/>
    </row>
    <row r="34" spans="1:18" ht="19.5" customHeight="1" x14ac:dyDescent="0.25">
      <c r="A34" s="5">
        <v>31</v>
      </c>
      <c r="B34" s="5" t="s">
        <v>141</v>
      </c>
      <c r="C34" s="5" t="s">
        <v>93</v>
      </c>
      <c r="D34" s="5">
        <v>45</v>
      </c>
      <c r="E34" s="5" t="s">
        <v>43</v>
      </c>
      <c r="F34" s="5" t="s">
        <v>43</v>
      </c>
      <c r="G34" s="5" t="s">
        <v>141</v>
      </c>
      <c r="H34" s="7">
        <f t="shared" si="3"/>
        <v>2.8</v>
      </c>
      <c r="I34" s="16">
        <v>16</v>
      </c>
      <c r="J34" s="8" t="s">
        <v>200</v>
      </c>
      <c r="K34" s="32">
        <v>2.99</v>
      </c>
      <c r="L34" s="36">
        <v>140</v>
      </c>
      <c r="M34" s="33" t="s">
        <v>162</v>
      </c>
      <c r="N34" s="33">
        <f t="shared" si="4"/>
        <v>4.9383587012116621</v>
      </c>
      <c r="O34" s="9">
        <f t="shared" si="5"/>
        <v>5</v>
      </c>
      <c r="P34" s="10">
        <f t="shared" si="6"/>
        <v>0.59799999999999998</v>
      </c>
      <c r="Q34" s="11">
        <f t="shared" si="7"/>
        <v>1.67</v>
      </c>
      <c r="R34" s="12"/>
    </row>
    <row r="35" spans="1:18" ht="19.5" customHeight="1" x14ac:dyDescent="0.25">
      <c r="A35" s="5">
        <v>32</v>
      </c>
      <c r="B35" s="5" t="s">
        <v>142</v>
      </c>
      <c r="C35" s="5" t="s">
        <v>93</v>
      </c>
      <c r="D35" s="5">
        <v>20</v>
      </c>
      <c r="E35" s="5" t="s">
        <v>43</v>
      </c>
      <c r="F35" s="5" t="s">
        <v>43</v>
      </c>
      <c r="G35" s="5" t="s">
        <v>142</v>
      </c>
      <c r="H35" s="7">
        <f t="shared" si="3"/>
        <v>1.3</v>
      </c>
      <c r="I35" s="16">
        <v>15</v>
      </c>
      <c r="J35" s="8" t="s">
        <v>201</v>
      </c>
      <c r="K35" s="32">
        <v>5.99</v>
      </c>
      <c r="L35" s="36">
        <v>300</v>
      </c>
      <c r="M35" s="33" t="s">
        <v>162</v>
      </c>
      <c r="N35" s="33">
        <f t="shared" si="4"/>
        <v>10.582197216882133</v>
      </c>
      <c r="O35" s="9">
        <f t="shared" si="5"/>
        <v>11</v>
      </c>
      <c r="P35" s="10">
        <f t="shared" si="6"/>
        <v>0.54449999999999998</v>
      </c>
      <c r="Q35" s="11">
        <f t="shared" si="7"/>
        <v>0.71</v>
      </c>
      <c r="R35" s="12"/>
    </row>
    <row r="36" spans="1:18" ht="19.5" customHeight="1" x14ac:dyDescent="0.25">
      <c r="A36" s="5">
        <v>33</v>
      </c>
      <c r="B36" s="5" t="s">
        <v>143</v>
      </c>
      <c r="C36" s="5" t="s">
        <v>93</v>
      </c>
      <c r="D36" s="5">
        <v>15</v>
      </c>
      <c r="E36" s="5" t="s">
        <v>43</v>
      </c>
      <c r="F36" s="5" t="s">
        <v>43</v>
      </c>
      <c r="G36" s="5" t="s">
        <v>143</v>
      </c>
      <c r="H36" s="7">
        <f t="shared" si="3"/>
        <v>1</v>
      </c>
      <c r="I36" s="16">
        <v>15</v>
      </c>
      <c r="J36" s="8" t="s">
        <v>202</v>
      </c>
      <c r="K36" s="32">
        <v>2.99</v>
      </c>
      <c r="L36" s="36">
        <v>100</v>
      </c>
      <c r="M36" s="33" t="s">
        <v>162</v>
      </c>
      <c r="N36" s="33">
        <f t="shared" si="4"/>
        <v>3.527399072294044</v>
      </c>
      <c r="O36" s="9">
        <f t="shared" si="5"/>
        <v>4</v>
      </c>
      <c r="P36" s="10">
        <f t="shared" si="6"/>
        <v>0.74750000000000005</v>
      </c>
      <c r="Q36" s="11">
        <f t="shared" si="7"/>
        <v>0.75</v>
      </c>
      <c r="R36" s="12"/>
    </row>
    <row r="37" spans="1:18" ht="19.5" customHeight="1" x14ac:dyDescent="0.25">
      <c r="A37" s="5">
        <v>34</v>
      </c>
      <c r="B37" s="5" t="s">
        <v>144</v>
      </c>
      <c r="C37" s="5" t="s">
        <v>93</v>
      </c>
      <c r="D37" s="5">
        <v>35</v>
      </c>
      <c r="E37" s="5" t="s">
        <v>43</v>
      </c>
      <c r="F37" s="5" t="s">
        <v>43</v>
      </c>
      <c r="G37" s="5" t="s">
        <v>144</v>
      </c>
      <c r="H37" s="7">
        <f t="shared" si="3"/>
        <v>2.2999999999999998</v>
      </c>
      <c r="I37" s="16">
        <v>15</v>
      </c>
      <c r="J37" s="8" t="s">
        <v>203</v>
      </c>
      <c r="K37" s="32">
        <v>0.65</v>
      </c>
      <c r="L37" s="36">
        <v>585</v>
      </c>
      <c r="M37" s="33" t="s">
        <v>162</v>
      </c>
      <c r="N37" s="33">
        <f>L37/28.3495</f>
        <v>20.63528457292016</v>
      </c>
      <c r="O37" s="9">
        <f t="shared" si="5"/>
        <v>21</v>
      </c>
      <c r="P37" s="10">
        <f t="shared" si="6"/>
        <v>3.1E-2</v>
      </c>
      <c r="Q37" s="11">
        <f t="shared" si="7"/>
        <v>7.0000000000000007E-2</v>
      </c>
      <c r="R37" s="12"/>
    </row>
    <row r="38" spans="1:18" ht="19.5" customHeight="1" x14ac:dyDescent="0.25">
      <c r="A38" s="5">
        <v>35</v>
      </c>
      <c r="B38" s="5" t="s">
        <v>145</v>
      </c>
      <c r="C38" s="5" t="s">
        <v>93</v>
      </c>
      <c r="D38" s="5">
        <v>25</v>
      </c>
      <c r="E38" s="5" t="s">
        <v>43</v>
      </c>
      <c r="F38" s="5" t="s">
        <v>43</v>
      </c>
      <c r="G38" s="5" t="s">
        <v>145</v>
      </c>
      <c r="H38" s="7">
        <f t="shared" si="3"/>
        <v>1.7</v>
      </c>
      <c r="I38" s="16">
        <v>15</v>
      </c>
      <c r="J38" s="8" t="s">
        <v>204</v>
      </c>
      <c r="K38" s="32">
        <v>1.67</v>
      </c>
      <c r="L38" s="36">
        <v>85</v>
      </c>
      <c r="M38" s="33" t="s">
        <v>162</v>
      </c>
      <c r="N38" s="33">
        <f>L38/28.3495</f>
        <v>2.9982892114499373</v>
      </c>
      <c r="O38" s="9">
        <f t="shared" si="5"/>
        <v>3</v>
      </c>
      <c r="P38" s="10">
        <f t="shared" si="6"/>
        <v>0.55669999999999997</v>
      </c>
      <c r="Q38" s="11">
        <f t="shared" si="7"/>
        <v>0.95</v>
      </c>
      <c r="R38" s="34" t="s">
        <v>205</v>
      </c>
    </row>
    <row r="39" spans="1:18" ht="19.5" customHeight="1" x14ac:dyDescent="0.25">
      <c r="A39" s="5">
        <v>36</v>
      </c>
      <c r="B39" s="5" t="s">
        <v>146</v>
      </c>
      <c r="C39" s="5" t="s">
        <v>93</v>
      </c>
      <c r="D39" s="5">
        <v>15</v>
      </c>
      <c r="E39" s="5" t="s">
        <v>43</v>
      </c>
      <c r="F39" s="5" t="s">
        <v>43</v>
      </c>
      <c r="G39" s="5" t="s">
        <v>146</v>
      </c>
      <c r="H39" s="7">
        <f t="shared" si="3"/>
        <v>1.5</v>
      </c>
      <c r="I39" s="16">
        <v>10</v>
      </c>
      <c r="J39" s="8" t="s">
        <v>206</v>
      </c>
      <c r="K39" s="32">
        <v>2.79</v>
      </c>
      <c r="L39" s="36">
        <v>85</v>
      </c>
      <c r="M39" s="33" t="s">
        <v>162</v>
      </c>
      <c r="N39" s="33">
        <f t="shared" si="4"/>
        <v>2.9982892114499373</v>
      </c>
      <c r="O39" s="9">
        <f t="shared" si="5"/>
        <v>3</v>
      </c>
      <c r="P39" s="10">
        <f t="shared" si="6"/>
        <v>0.93</v>
      </c>
      <c r="Q39" s="11">
        <f t="shared" si="7"/>
        <v>1.4</v>
      </c>
      <c r="R39" s="12"/>
    </row>
    <row r="40" spans="1:18" ht="19.5" customHeight="1" x14ac:dyDescent="0.25">
      <c r="A40" s="5">
        <v>37</v>
      </c>
      <c r="B40" s="5" t="s">
        <v>147</v>
      </c>
      <c r="C40" s="5" t="s">
        <v>93</v>
      </c>
      <c r="D40" s="5">
        <v>130</v>
      </c>
      <c r="E40" s="5" t="s">
        <v>43</v>
      </c>
      <c r="F40" s="5" t="s">
        <v>43</v>
      </c>
      <c r="G40" s="5" t="s">
        <v>147</v>
      </c>
      <c r="H40" s="7">
        <f t="shared" si="3"/>
        <v>3</v>
      </c>
      <c r="I40" s="16">
        <v>43</v>
      </c>
      <c r="J40" s="31" t="s">
        <v>207</v>
      </c>
      <c r="K40" s="32">
        <v>2.99</v>
      </c>
      <c r="L40" s="36">
        <v>170</v>
      </c>
      <c r="M40" s="33" t="s">
        <v>162</v>
      </c>
      <c r="N40" s="33">
        <f t="shared" si="4"/>
        <v>5.9965784228998746</v>
      </c>
      <c r="O40" s="9">
        <f t="shared" si="5"/>
        <v>6</v>
      </c>
      <c r="P40" s="10">
        <f t="shared" si="6"/>
        <v>0.49830000000000002</v>
      </c>
      <c r="Q40" s="11">
        <f t="shared" si="7"/>
        <v>1.49</v>
      </c>
      <c r="R40" s="12"/>
    </row>
    <row r="41" spans="1:18" ht="19.5" customHeight="1" x14ac:dyDescent="0.25">
      <c r="A41" s="5">
        <v>38</v>
      </c>
      <c r="B41" s="5" t="s">
        <v>52</v>
      </c>
      <c r="C41" s="5" t="s">
        <v>53</v>
      </c>
      <c r="D41" s="5">
        <v>110</v>
      </c>
      <c r="E41" s="5" t="s">
        <v>43</v>
      </c>
      <c r="F41" s="5" t="s">
        <v>43</v>
      </c>
      <c r="G41" s="6" t="s">
        <v>54</v>
      </c>
      <c r="H41" s="7">
        <f t="shared" si="3"/>
        <v>3.1</v>
      </c>
      <c r="I41" s="16">
        <v>35</v>
      </c>
      <c r="J41" s="8" t="s">
        <v>208</v>
      </c>
      <c r="K41" s="32">
        <v>17.989999999999998</v>
      </c>
      <c r="L41" s="36">
        <v>6803</v>
      </c>
      <c r="M41" s="33" t="s">
        <v>162</v>
      </c>
      <c r="N41" s="33">
        <f t="shared" si="4"/>
        <v>239.96895888816383</v>
      </c>
      <c r="O41" s="9">
        <f t="shared" si="5"/>
        <v>240</v>
      </c>
      <c r="P41" s="10">
        <f t="shared" si="6"/>
        <v>7.4999999999999997E-2</v>
      </c>
      <c r="Q41" s="11">
        <f t="shared" si="7"/>
        <v>0.23</v>
      </c>
      <c r="R41" s="12"/>
    </row>
    <row r="42" spans="1:18" ht="18" customHeight="1" x14ac:dyDescent="0.25">
      <c r="A42" s="5"/>
      <c r="B42" s="5"/>
      <c r="C42" s="5"/>
      <c r="D42" s="5"/>
      <c r="E42" s="5"/>
      <c r="F42" s="5"/>
      <c r="G42" s="5"/>
      <c r="H42" s="7" t="str">
        <f t="shared" si="0"/>
        <v/>
      </c>
      <c r="I42" s="5"/>
      <c r="J42" s="5"/>
      <c r="K42" s="5"/>
      <c r="L42" s="5"/>
      <c r="M42" s="5"/>
      <c r="N42" s="5"/>
      <c r="O42" s="5"/>
      <c r="P42" s="10" t="str">
        <f t="shared" si="1"/>
        <v/>
      </c>
      <c r="Q42" s="11" t="str">
        <f t="shared" si="2"/>
        <v/>
      </c>
      <c r="R42" s="5"/>
    </row>
    <row r="43" spans="1:18" ht="18" customHeight="1" x14ac:dyDescent="0.25">
      <c r="A43" s="13"/>
      <c r="B43" s="13"/>
      <c r="C43" s="13"/>
      <c r="D43" s="13"/>
      <c r="E43" s="13"/>
      <c r="F43" s="13"/>
      <c r="G43" s="13"/>
      <c r="H43" s="7" t="str">
        <f t="shared" si="0"/>
        <v/>
      </c>
      <c r="I43" s="13"/>
      <c r="J43" s="13"/>
      <c r="K43" s="13"/>
      <c r="L43" s="13"/>
      <c r="M43" s="13"/>
      <c r="N43" s="13"/>
      <c r="O43" s="13"/>
      <c r="P43" s="10" t="str">
        <f t="shared" si="1"/>
        <v/>
      </c>
      <c r="Q43" s="11" t="str">
        <f t="shared" si="2"/>
        <v/>
      </c>
      <c r="R43" s="13"/>
    </row>
    <row r="44" spans="1:18" ht="18" customHeight="1" x14ac:dyDescent="0.25">
      <c r="A44" s="5"/>
      <c r="B44" s="5"/>
      <c r="C44" s="5"/>
      <c r="D44" s="5"/>
      <c r="E44" s="5"/>
      <c r="F44" s="5"/>
      <c r="G44" s="5"/>
      <c r="H44" s="7" t="str">
        <f t="shared" si="0"/>
        <v/>
      </c>
      <c r="I44" s="5"/>
      <c r="J44" s="5"/>
      <c r="K44" s="5"/>
      <c r="L44" s="5"/>
      <c r="M44" s="5"/>
      <c r="N44" s="5"/>
      <c r="O44" s="5"/>
      <c r="P44" s="10" t="str">
        <f t="shared" si="1"/>
        <v/>
      </c>
      <c r="Q44" s="11" t="str">
        <f t="shared" si="2"/>
        <v/>
      </c>
      <c r="R44" s="5"/>
    </row>
    <row r="45" spans="1:18" ht="18" customHeight="1" x14ac:dyDescent="0.25">
      <c r="A45" s="13"/>
      <c r="B45" s="13"/>
      <c r="C45" s="13"/>
      <c r="D45" s="13"/>
      <c r="E45" s="13"/>
      <c r="F45" s="13"/>
      <c r="G45" s="13"/>
      <c r="H45" s="7" t="str">
        <f t="shared" si="0"/>
        <v/>
      </c>
      <c r="I45" s="13"/>
      <c r="J45" s="13"/>
      <c r="K45" s="13"/>
      <c r="L45" s="13"/>
      <c r="M45" s="13"/>
      <c r="N45" s="13"/>
      <c r="O45" s="13"/>
      <c r="P45" s="10" t="str">
        <f t="shared" si="1"/>
        <v/>
      </c>
      <c r="Q45" s="11" t="str">
        <f t="shared" si="2"/>
        <v/>
      </c>
      <c r="R45" s="13"/>
    </row>
    <row r="46" spans="1:18" ht="18" customHeight="1" x14ac:dyDescent="0.25">
      <c r="A46" s="5"/>
      <c r="B46" s="5"/>
      <c r="C46" s="5"/>
      <c r="D46" s="5"/>
      <c r="E46" s="5"/>
      <c r="F46" s="5"/>
      <c r="G46" s="5"/>
      <c r="H46" s="7" t="str">
        <f t="shared" si="0"/>
        <v/>
      </c>
      <c r="I46" s="5"/>
      <c r="J46" s="5"/>
      <c r="K46" s="5"/>
      <c r="L46" s="5"/>
      <c r="M46" s="5"/>
      <c r="N46" s="5"/>
      <c r="O46" s="5"/>
      <c r="P46" s="10" t="str">
        <f t="shared" si="1"/>
        <v/>
      </c>
      <c r="Q46" s="11" t="str">
        <f t="shared" si="2"/>
        <v/>
      </c>
      <c r="R46" s="5"/>
    </row>
    <row r="47" spans="1:18" ht="18" customHeight="1" x14ac:dyDescent="0.25">
      <c r="A47" s="13"/>
      <c r="B47" s="13"/>
      <c r="C47" s="13"/>
      <c r="D47" s="13"/>
      <c r="E47" s="13"/>
      <c r="F47" s="13"/>
      <c r="G47" s="13"/>
      <c r="H47" s="7" t="str">
        <f t="shared" si="0"/>
        <v/>
      </c>
      <c r="I47" s="13"/>
      <c r="J47" s="13"/>
      <c r="K47" s="13"/>
      <c r="L47" s="13"/>
      <c r="M47" s="13"/>
      <c r="N47" s="13"/>
      <c r="O47" s="13"/>
      <c r="P47" s="10" t="str">
        <f t="shared" si="1"/>
        <v/>
      </c>
      <c r="Q47" s="11" t="str">
        <f t="shared" si="2"/>
        <v/>
      </c>
      <c r="R47" s="13"/>
    </row>
    <row r="48" spans="1:18" ht="18" customHeight="1" x14ac:dyDescent="0.25">
      <c r="A48" s="5"/>
      <c r="B48" s="5"/>
      <c r="C48" s="5"/>
      <c r="D48" s="5"/>
      <c r="E48" s="5"/>
      <c r="F48" s="5"/>
      <c r="G48" s="5"/>
      <c r="H48" s="7" t="str">
        <f t="shared" si="0"/>
        <v/>
      </c>
      <c r="I48" s="5"/>
      <c r="J48" s="5"/>
      <c r="K48" s="5"/>
      <c r="L48" s="5"/>
      <c r="M48" s="5"/>
      <c r="N48" s="5"/>
      <c r="O48" s="5"/>
      <c r="P48" s="10" t="str">
        <f t="shared" si="1"/>
        <v/>
      </c>
      <c r="Q48" s="11" t="str">
        <f t="shared" si="2"/>
        <v/>
      </c>
      <c r="R48" s="5"/>
    </row>
    <row r="49" spans="1:18" ht="18" customHeight="1" x14ac:dyDescent="0.25">
      <c r="A49" s="13"/>
      <c r="B49" s="13"/>
      <c r="C49" s="13"/>
      <c r="D49" s="13"/>
      <c r="E49" s="13"/>
      <c r="F49" s="13"/>
      <c r="G49" s="13"/>
      <c r="H49" s="7" t="str">
        <f t="shared" si="0"/>
        <v/>
      </c>
      <c r="I49" s="13"/>
      <c r="J49" s="13"/>
      <c r="K49" s="13"/>
      <c r="L49" s="13"/>
      <c r="M49" s="13"/>
      <c r="N49" s="13"/>
      <c r="O49" s="13"/>
      <c r="P49" s="10" t="str">
        <f t="shared" si="1"/>
        <v/>
      </c>
      <c r="Q49" s="11" t="str">
        <f t="shared" si="2"/>
        <v/>
      </c>
      <c r="R49" s="13"/>
    </row>
    <row r="50" spans="1:18" ht="18" customHeight="1" x14ac:dyDescent="0.25">
      <c r="A50" s="5"/>
      <c r="B50" s="5"/>
      <c r="C50" s="5"/>
      <c r="D50" s="5"/>
      <c r="E50" s="5"/>
      <c r="F50" s="5"/>
      <c r="G50" s="5"/>
      <c r="H50" s="7" t="str">
        <f t="shared" si="0"/>
        <v/>
      </c>
      <c r="I50" s="5"/>
      <c r="J50" s="5"/>
      <c r="K50" s="5"/>
      <c r="L50" s="5"/>
      <c r="M50" s="5"/>
      <c r="N50" s="5"/>
      <c r="O50" s="5"/>
      <c r="P50" s="10" t="str">
        <f t="shared" si="1"/>
        <v/>
      </c>
      <c r="Q50" s="11" t="str">
        <f t="shared" si="2"/>
        <v/>
      </c>
      <c r="R50" s="5"/>
    </row>
    <row r="51" spans="1:18" ht="18" customHeight="1" x14ac:dyDescent="0.25">
      <c r="A51" s="13"/>
      <c r="B51" s="13"/>
      <c r="C51" s="13"/>
      <c r="D51" s="13"/>
      <c r="E51" s="13"/>
      <c r="F51" s="13"/>
      <c r="G51" s="13"/>
      <c r="H51" s="7" t="str">
        <f t="shared" si="0"/>
        <v/>
      </c>
      <c r="I51" s="13"/>
      <c r="J51" s="13"/>
      <c r="K51" s="13"/>
      <c r="L51" s="13"/>
      <c r="M51" s="13"/>
      <c r="N51" s="13"/>
      <c r="O51" s="13"/>
      <c r="P51" s="10" t="str">
        <f t="shared" si="1"/>
        <v/>
      </c>
      <c r="Q51" s="11" t="str">
        <f t="shared" si="2"/>
        <v/>
      </c>
      <c r="R51" s="13"/>
    </row>
    <row r="52" spans="1:18" ht="18" customHeight="1" x14ac:dyDescent="0.25">
      <c r="A52" s="5"/>
      <c r="B52" s="5"/>
      <c r="C52" s="5"/>
      <c r="D52" s="5"/>
      <c r="E52" s="5"/>
      <c r="F52" s="5"/>
      <c r="G52" s="5"/>
      <c r="H52" s="7" t="str">
        <f t="shared" si="0"/>
        <v/>
      </c>
      <c r="I52" s="5"/>
      <c r="J52" s="5"/>
      <c r="K52" s="5"/>
      <c r="L52" s="5"/>
      <c r="M52" s="5"/>
      <c r="N52" s="5"/>
      <c r="O52" s="5"/>
      <c r="P52" s="10" t="str">
        <f t="shared" si="1"/>
        <v/>
      </c>
      <c r="Q52" s="11" t="str">
        <f t="shared" si="2"/>
        <v/>
      </c>
      <c r="R52" s="5"/>
    </row>
    <row r="53" spans="1:18" ht="18" customHeight="1" x14ac:dyDescent="0.25">
      <c r="A53" s="13"/>
      <c r="B53" s="13"/>
      <c r="C53" s="13"/>
      <c r="D53" s="13"/>
      <c r="E53" s="13"/>
      <c r="F53" s="13"/>
      <c r="G53" s="13"/>
      <c r="H53" s="7" t="str">
        <f t="shared" si="0"/>
        <v/>
      </c>
      <c r="I53" s="13"/>
      <c r="J53" s="13"/>
      <c r="K53" s="13"/>
      <c r="L53" s="13"/>
      <c r="M53" s="13"/>
      <c r="N53" s="13"/>
      <c r="O53" s="13"/>
      <c r="P53" s="10" t="str">
        <f t="shared" si="1"/>
        <v/>
      </c>
      <c r="Q53" s="11" t="str">
        <f t="shared" si="2"/>
        <v/>
      </c>
      <c r="R53" s="13"/>
    </row>
    <row r="54" spans="1:18" ht="18" customHeight="1" x14ac:dyDescent="0.25">
      <c r="A54" s="5"/>
      <c r="B54" s="5"/>
      <c r="C54" s="5"/>
      <c r="D54" s="5"/>
      <c r="E54" s="5"/>
      <c r="F54" s="5"/>
      <c r="G54" s="5"/>
      <c r="H54" s="7" t="str">
        <f t="shared" si="0"/>
        <v/>
      </c>
      <c r="I54" s="5"/>
      <c r="J54" s="5"/>
      <c r="K54" s="5"/>
      <c r="L54" s="5"/>
      <c r="M54" s="5"/>
      <c r="N54" s="5"/>
      <c r="O54" s="5"/>
      <c r="P54" s="10" t="str">
        <f t="shared" si="1"/>
        <v/>
      </c>
      <c r="Q54" s="11" t="str">
        <f t="shared" si="2"/>
        <v/>
      </c>
      <c r="R54" s="5"/>
    </row>
    <row r="55" spans="1:18" ht="18" customHeight="1" x14ac:dyDescent="0.25">
      <c r="A55" s="13"/>
      <c r="B55" s="13"/>
      <c r="C55" s="13"/>
      <c r="D55" s="13"/>
      <c r="E55" s="13"/>
      <c r="F55" s="13"/>
      <c r="G55" s="13"/>
      <c r="H55" s="7" t="str">
        <f t="shared" si="0"/>
        <v/>
      </c>
      <c r="I55" s="13"/>
      <c r="J55" s="13"/>
      <c r="K55" s="13"/>
      <c r="L55" s="13"/>
      <c r="M55" s="13"/>
      <c r="N55" s="13"/>
      <c r="O55" s="13"/>
      <c r="P55" s="10" t="str">
        <f t="shared" si="1"/>
        <v/>
      </c>
      <c r="Q55" s="11" t="str">
        <f t="shared" si="2"/>
        <v/>
      </c>
      <c r="R55" s="13"/>
    </row>
    <row r="56" spans="1:18" ht="18" customHeight="1" x14ac:dyDescent="0.25">
      <c r="A56" s="5"/>
      <c r="B56" s="5"/>
      <c r="C56" s="5"/>
      <c r="D56" s="5"/>
      <c r="E56" s="5"/>
      <c r="F56" s="5"/>
      <c r="G56" s="5"/>
      <c r="H56" s="7" t="str">
        <f t="shared" si="0"/>
        <v/>
      </c>
      <c r="I56" s="5"/>
      <c r="J56" s="5"/>
      <c r="K56" s="5"/>
      <c r="L56" s="5"/>
      <c r="M56" s="5"/>
      <c r="N56" s="5"/>
      <c r="O56" s="5"/>
      <c r="P56" s="10" t="str">
        <f t="shared" si="1"/>
        <v/>
      </c>
      <c r="Q56" s="11" t="str">
        <f t="shared" si="2"/>
        <v/>
      </c>
      <c r="R56" s="5"/>
    </row>
    <row r="57" spans="1:18" ht="18" customHeight="1" x14ac:dyDescent="0.25">
      <c r="A57" s="13"/>
      <c r="B57" s="13"/>
      <c r="C57" s="13"/>
      <c r="D57" s="13"/>
      <c r="E57" s="13"/>
      <c r="F57" s="13"/>
      <c r="G57" s="13"/>
      <c r="H57" s="7" t="str">
        <f t="shared" si="0"/>
        <v/>
      </c>
      <c r="I57" s="13"/>
      <c r="J57" s="13"/>
      <c r="K57" s="13"/>
      <c r="L57" s="13"/>
      <c r="M57" s="13"/>
      <c r="N57" s="13"/>
      <c r="O57" s="13"/>
      <c r="P57" s="10" t="str">
        <f t="shared" si="1"/>
        <v/>
      </c>
      <c r="Q57" s="11" t="str">
        <f t="shared" si="2"/>
        <v/>
      </c>
      <c r="R57" s="13"/>
    </row>
    <row r="58" spans="1:18" ht="18" customHeight="1" x14ac:dyDescent="0.25">
      <c r="A58" s="5"/>
      <c r="B58" s="5"/>
      <c r="C58" s="5"/>
      <c r="D58" s="5"/>
      <c r="E58" s="5"/>
      <c r="F58" s="5"/>
      <c r="G58" s="5"/>
      <c r="H58" s="7" t="str">
        <f t="shared" si="0"/>
        <v/>
      </c>
      <c r="I58" s="5"/>
      <c r="J58" s="5"/>
      <c r="K58" s="5"/>
      <c r="L58" s="5"/>
      <c r="M58" s="5"/>
      <c r="N58" s="5"/>
      <c r="O58" s="5"/>
      <c r="P58" s="10" t="str">
        <f t="shared" si="1"/>
        <v/>
      </c>
      <c r="Q58" s="11" t="str">
        <f t="shared" si="2"/>
        <v/>
      </c>
      <c r="R58" s="5"/>
    </row>
    <row r="59" spans="1:18" ht="18" customHeight="1" x14ac:dyDescent="0.25">
      <c r="A59" s="13"/>
      <c r="B59" s="13"/>
      <c r="C59" s="13"/>
      <c r="D59" s="13"/>
      <c r="E59" s="13"/>
      <c r="F59" s="13"/>
      <c r="G59" s="13"/>
      <c r="H59" s="7" t="str">
        <f t="shared" si="0"/>
        <v/>
      </c>
      <c r="I59" s="13"/>
      <c r="J59" s="13"/>
      <c r="K59" s="13"/>
      <c r="L59" s="13"/>
      <c r="M59" s="13"/>
      <c r="N59" s="13"/>
      <c r="O59" s="13"/>
      <c r="P59" s="10" t="str">
        <f t="shared" si="1"/>
        <v/>
      </c>
      <c r="Q59" s="11" t="str">
        <f t="shared" si="2"/>
        <v/>
      </c>
      <c r="R59" s="13"/>
    </row>
    <row r="60" spans="1:18" ht="18" customHeight="1" x14ac:dyDescent="0.25">
      <c r="A60" s="5"/>
      <c r="B60" s="5"/>
      <c r="C60" s="5"/>
      <c r="D60" s="5"/>
      <c r="E60" s="5"/>
      <c r="F60" s="5"/>
      <c r="G60" s="5"/>
      <c r="H60" s="7" t="str">
        <f t="shared" si="0"/>
        <v/>
      </c>
      <c r="I60" s="5"/>
      <c r="J60" s="5"/>
      <c r="K60" s="5"/>
      <c r="L60" s="5"/>
      <c r="M60" s="5"/>
      <c r="N60" s="5"/>
      <c r="O60" s="5"/>
      <c r="P60" s="10" t="str">
        <f t="shared" si="1"/>
        <v/>
      </c>
      <c r="Q60" s="11" t="str">
        <f t="shared" si="2"/>
        <v/>
      </c>
      <c r="R60" s="5"/>
    </row>
    <row r="61" spans="1:18" ht="18" customHeight="1" x14ac:dyDescent="0.25">
      <c r="A61" s="13"/>
      <c r="B61" s="13"/>
      <c r="C61" s="13"/>
      <c r="D61" s="13"/>
      <c r="E61" s="13"/>
      <c r="F61" s="13"/>
      <c r="G61" s="13"/>
      <c r="H61" s="7" t="str">
        <f t="shared" si="0"/>
        <v/>
      </c>
      <c r="I61" s="13"/>
      <c r="J61" s="13"/>
      <c r="K61" s="13"/>
      <c r="L61" s="13"/>
      <c r="M61" s="13"/>
      <c r="N61" s="13"/>
      <c r="O61" s="13"/>
      <c r="P61" s="10" t="str">
        <f t="shared" si="1"/>
        <v/>
      </c>
      <c r="Q61" s="11" t="str">
        <f t="shared" si="2"/>
        <v/>
      </c>
      <c r="R61" s="13"/>
    </row>
    <row r="62" spans="1:18" ht="18" customHeight="1" x14ac:dyDescent="0.25">
      <c r="A62" s="5"/>
      <c r="B62" s="5"/>
      <c r="C62" s="5"/>
      <c r="D62" s="5"/>
      <c r="E62" s="5"/>
      <c r="F62" s="5"/>
      <c r="G62" s="5"/>
      <c r="H62" s="7" t="str">
        <f t="shared" si="0"/>
        <v/>
      </c>
      <c r="I62" s="5"/>
      <c r="J62" s="5"/>
      <c r="K62" s="5"/>
      <c r="L62" s="5"/>
      <c r="M62" s="5"/>
      <c r="N62" s="5"/>
      <c r="O62" s="5"/>
      <c r="P62" s="10" t="str">
        <f t="shared" si="1"/>
        <v/>
      </c>
      <c r="Q62" s="11" t="str">
        <f t="shared" si="2"/>
        <v/>
      </c>
      <c r="R62" s="5"/>
    </row>
    <row r="63" spans="1:18" ht="18" customHeight="1" x14ac:dyDescent="0.25">
      <c r="A63" s="13"/>
      <c r="B63" s="13"/>
      <c r="C63" s="13"/>
      <c r="D63" s="13"/>
      <c r="E63" s="13"/>
      <c r="F63" s="13"/>
      <c r="G63" s="13"/>
      <c r="H63" s="7" t="str">
        <f t="shared" si="0"/>
        <v/>
      </c>
      <c r="I63" s="13"/>
      <c r="J63" s="13"/>
      <c r="K63" s="13"/>
      <c r="L63" s="13"/>
      <c r="M63" s="13"/>
      <c r="N63" s="13"/>
      <c r="O63" s="13"/>
      <c r="P63" s="10" t="str">
        <f t="shared" si="1"/>
        <v/>
      </c>
      <c r="Q63" s="11" t="str">
        <f t="shared" si="2"/>
        <v/>
      </c>
      <c r="R63" s="13"/>
    </row>
    <row r="64" spans="1:18" ht="18" customHeight="1" x14ac:dyDescent="0.25">
      <c r="A64" s="5"/>
      <c r="B64" s="5"/>
      <c r="C64" s="5"/>
      <c r="D64" s="5"/>
      <c r="E64" s="5"/>
      <c r="F64" s="5"/>
      <c r="G64" s="5"/>
      <c r="H64" s="7" t="str">
        <f t="shared" si="0"/>
        <v/>
      </c>
      <c r="I64" s="5"/>
      <c r="J64" s="5"/>
      <c r="K64" s="5"/>
      <c r="L64" s="5"/>
      <c r="M64" s="5"/>
      <c r="N64" s="5"/>
      <c r="O64" s="5"/>
      <c r="P64" s="10" t="str">
        <f t="shared" si="1"/>
        <v/>
      </c>
      <c r="Q64" s="11" t="str">
        <f t="shared" si="2"/>
        <v/>
      </c>
      <c r="R64" s="5"/>
    </row>
    <row r="65" spans="1:18" ht="18" customHeight="1" x14ac:dyDescent="0.25">
      <c r="A65" s="13"/>
      <c r="B65" s="13"/>
      <c r="C65" s="13"/>
      <c r="D65" s="13"/>
      <c r="E65" s="13"/>
      <c r="F65" s="13"/>
      <c r="G65" s="13"/>
      <c r="H65" s="7" t="str">
        <f t="shared" si="0"/>
        <v/>
      </c>
      <c r="I65" s="13"/>
      <c r="J65" s="13"/>
      <c r="K65" s="13"/>
      <c r="L65" s="13"/>
      <c r="M65" s="13"/>
      <c r="N65" s="13"/>
      <c r="O65" s="13"/>
      <c r="P65" s="10" t="str">
        <f t="shared" si="1"/>
        <v/>
      </c>
      <c r="Q65" s="11" t="str">
        <f t="shared" si="2"/>
        <v/>
      </c>
      <c r="R65" s="13"/>
    </row>
    <row r="66" spans="1:18" ht="18" customHeight="1" x14ac:dyDescent="0.25">
      <c r="A66" s="5"/>
      <c r="B66" s="5"/>
      <c r="C66" s="5"/>
      <c r="D66" s="5"/>
      <c r="E66" s="5"/>
      <c r="F66" s="5"/>
      <c r="G66" s="5"/>
      <c r="H66" s="7" t="str">
        <f t="shared" si="0"/>
        <v/>
      </c>
      <c r="I66" s="5"/>
      <c r="J66" s="5"/>
      <c r="K66" s="5"/>
      <c r="L66" s="5"/>
      <c r="M66" s="5"/>
      <c r="N66" s="5"/>
      <c r="O66" s="5"/>
      <c r="P66" s="10" t="str">
        <f t="shared" si="1"/>
        <v/>
      </c>
      <c r="Q66" s="11" t="str">
        <f t="shared" si="2"/>
        <v/>
      </c>
      <c r="R66" s="5"/>
    </row>
    <row r="67" spans="1:18" ht="18" customHeight="1" x14ac:dyDescent="0.25">
      <c r="A67" s="13"/>
      <c r="B67" s="13"/>
      <c r="C67" s="13"/>
      <c r="D67" s="13"/>
      <c r="E67" s="13"/>
      <c r="F67" s="13"/>
      <c r="G67" s="13"/>
      <c r="H67" s="7" t="str">
        <f t="shared" si="0"/>
        <v/>
      </c>
      <c r="I67" s="13"/>
      <c r="J67" s="13"/>
      <c r="K67" s="13"/>
      <c r="L67" s="13"/>
      <c r="M67" s="13"/>
      <c r="N67" s="13"/>
      <c r="O67" s="13"/>
      <c r="P67" s="10" t="str">
        <f t="shared" si="1"/>
        <v/>
      </c>
      <c r="Q67" s="11" t="str">
        <f t="shared" si="2"/>
        <v/>
      </c>
      <c r="R67" s="13"/>
    </row>
    <row r="68" spans="1:18" ht="18" customHeight="1" x14ac:dyDescent="0.25">
      <c r="A68" s="5"/>
      <c r="B68" s="5"/>
      <c r="C68" s="5"/>
      <c r="D68" s="5"/>
      <c r="E68" s="5"/>
      <c r="F68" s="5"/>
      <c r="G68" s="5"/>
      <c r="H68" s="7" t="str">
        <f t="shared" si="0"/>
        <v/>
      </c>
      <c r="I68" s="5"/>
      <c r="J68" s="5"/>
      <c r="K68" s="5"/>
      <c r="L68" s="5"/>
      <c r="M68" s="5"/>
      <c r="N68" s="5"/>
      <c r="O68" s="5"/>
      <c r="P68" s="10" t="str">
        <f t="shared" si="1"/>
        <v/>
      </c>
      <c r="Q68" s="11" t="str">
        <f t="shared" si="2"/>
        <v/>
      </c>
      <c r="R68" s="5"/>
    </row>
    <row r="69" spans="1:18" ht="18" customHeight="1" x14ac:dyDescent="0.25">
      <c r="A69" s="13"/>
      <c r="B69" s="13"/>
      <c r="C69" s="13"/>
      <c r="D69" s="13"/>
      <c r="E69" s="13"/>
      <c r="F69" s="13"/>
      <c r="G69" s="13"/>
      <c r="H69" s="7" t="str">
        <f t="shared" ref="H69:H86" si="12">IF(AND(D69&lt;&gt;"",I69&lt;&gt;"",ISNUMBER(I69)),ROUND(D69/I69,1),"")</f>
        <v/>
      </c>
      <c r="I69" s="13"/>
      <c r="J69" s="13"/>
      <c r="K69" s="13"/>
      <c r="L69" s="13"/>
      <c r="M69" s="13"/>
      <c r="N69" s="13"/>
      <c r="O69" s="13"/>
      <c r="P69" s="10" t="str">
        <f t="shared" ref="P69:P86" si="13">IF(AND(K69&lt;&gt;"",O69&lt;&gt;"",O69&lt;&gt;0),ROUND(K69/O69,4),"")</f>
        <v/>
      </c>
      <c r="Q69" s="11" t="str">
        <f t="shared" ref="Q69:Q86" si="14">IF(AND(P69&lt;&gt;"",H69&lt;&gt;"",ISNUMBER(P69)),ROUND(P69*H69,2),"")</f>
        <v/>
      </c>
      <c r="R69" s="13"/>
    </row>
    <row r="70" spans="1:18" ht="18" customHeight="1" x14ac:dyDescent="0.25">
      <c r="A70" s="5"/>
      <c r="B70" s="5"/>
      <c r="C70" s="5"/>
      <c r="D70" s="5"/>
      <c r="E70" s="5"/>
      <c r="F70" s="5"/>
      <c r="G70" s="5"/>
      <c r="H70" s="7" t="str">
        <f t="shared" si="12"/>
        <v/>
      </c>
      <c r="I70" s="5"/>
      <c r="J70" s="5"/>
      <c r="K70" s="5"/>
      <c r="L70" s="5"/>
      <c r="M70" s="5"/>
      <c r="N70" s="5"/>
      <c r="O70" s="5"/>
      <c r="P70" s="10" t="str">
        <f t="shared" si="13"/>
        <v/>
      </c>
      <c r="Q70" s="11" t="str">
        <f t="shared" si="14"/>
        <v/>
      </c>
      <c r="R70" s="5"/>
    </row>
    <row r="71" spans="1:18" ht="18" customHeight="1" x14ac:dyDescent="0.25">
      <c r="A71" s="13"/>
      <c r="B71" s="13"/>
      <c r="C71" s="13"/>
      <c r="D71" s="13"/>
      <c r="E71" s="13"/>
      <c r="F71" s="13"/>
      <c r="G71" s="13"/>
      <c r="H71" s="7" t="str">
        <f t="shared" si="12"/>
        <v/>
      </c>
      <c r="I71" s="13"/>
      <c r="J71" s="13"/>
      <c r="K71" s="13"/>
      <c r="L71" s="13"/>
      <c r="M71" s="13"/>
      <c r="N71" s="13"/>
      <c r="O71" s="13"/>
      <c r="P71" s="10" t="str">
        <f t="shared" si="13"/>
        <v/>
      </c>
      <c r="Q71" s="11" t="str">
        <f t="shared" si="14"/>
        <v/>
      </c>
      <c r="R71" s="13"/>
    </row>
    <row r="72" spans="1:18" ht="18" customHeight="1" x14ac:dyDescent="0.25">
      <c r="A72" s="5"/>
      <c r="B72" s="5"/>
      <c r="C72" s="5"/>
      <c r="D72" s="5"/>
      <c r="E72" s="5"/>
      <c r="F72" s="5"/>
      <c r="G72" s="5"/>
      <c r="H72" s="7" t="str">
        <f t="shared" si="12"/>
        <v/>
      </c>
      <c r="I72" s="5"/>
      <c r="J72" s="5"/>
      <c r="K72" s="5"/>
      <c r="L72" s="5"/>
      <c r="M72" s="5"/>
      <c r="N72" s="5"/>
      <c r="O72" s="5"/>
      <c r="P72" s="10" t="str">
        <f t="shared" si="13"/>
        <v/>
      </c>
      <c r="Q72" s="11" t="str">
        <f t="shared" si="14"/>
        <v/>
      </c>
      <c r="R72" s="5"/>
    </row>
    <row r="73" spans="1:18" ht="18" customHeight="1" x14ac:dyDescent="0.25">
      <c r="A73" s="13"/>
      <c r="B73" s="13"/>
      <c r="C73" s="13"/>
      <c r="D73" s="13"/>
      <c r="E73" s="13"/>
      <c r="F73" s="13"/>
      <c r="G73" s="13"/>
      <c r="H73" s="7" t="str">
        <f t="shared" si="12"/>
        <v/>
      </c>
      <c r="I73" s="13"/>
      <c r="J73" s="13"/>
      <c r="K73" s="13"/>
      <c r="L73" s="13"/>
      <c r="M73" s="13"/>
      <c r="N73" s="13"/>
      <c r="O73" s="13"/>
      <c r="P73" s="10" t="str">
        <f t="shared" si="13"/>
        <v/>
      </c>
      <c r="Q73" s="11" t="str">
        <f t="shared" si="14"/>
        <v/>
      </c>
      <c r="R73" s="13"/>
    </row>
    <row r="74" spans="1:18" ht="18" customHeight="1" x14ac:dyDescent="0.25">
      <c r="A74" s="5"/>
      <c r="B74" s="5"/>
      <c r="C74" s="5"/>
      <c r="D74" s="5"/>
      <c r="E74" s="5"/>
      <c r="F74" s="5"/>
      <c r="G74" s="5"/>
      <c r="H74" s="7" t="str">
        <f t="shared" si="12"/>
        <v/>
      </c>
      <c r="I74" s="5"/>
      <c r="J74" s="5"/>
      <c r="K74" s="5"/>
      <c r="L74" s="5"/>
      <c r="M74" s="5"/>
      <c r="N74" s="5"/>
      <c r="O74" s="5"/>
      <c r="P74" s="10" t="str">
        <f t="shared" si="13"/>
        <v/>
      </c>
      <c r="Q74" s="11" t="str">
        <f t="shared" si="14"/>
        <v/>
      </c>
      <c r="R74" s="5"/>
    </row>
    <row r="75" spans="1:18" ht="18" customHeight="1" x14ac:dyDescent="0.25">
      <c r="A75" s="13"/>
      <c r="B75" s="13"/>
      <c r="C75" s="13"/>
      <c r="D75" s="13"/>
      <c r="E75" s="13"/>
      <c r="F75" s="13"/>
      <c r="G75" s="13"/>
      <c r="H75" s="7" t="str">
        <f t="shared" si="12"/>
        <v/>
      </c>
      <c r="I75" s="13"/>
      <c r="J75" s="13"/>
      <c r="K75" s="13"/>
      <c r="L75" s="13"/>
      <c r="M75" s="13"/>
      <c r="N75" s="13"/>
      <c r="O75" s="13"/>
      <c r="P75" s="10" t="str">
        <f t="shared" si="13"/>
        <v/>
      </c>
      <c r="Q75" s="11" t="str">
        <f t="shared" si="14"/>
        <v/>
      </c>
      <c r="R75" s="13"/>
    </row>
    <row r="76" spans="1:18" ht="18" customHeight="1" x14ac:dyDescent="0.25">
      <c r="A76" s="5"/>
      <c r="B76" s="5"/>
      <c r="C76" s="5"/>
      <c r="D76" s="5"/>
      <c r="E76" s="5"/>
      <c r="F76" s="5"/>
      <c r="G76" s="5"/>
      <c r="H76" s="7" t="str">
        <f t="shared" si="12"/>
        <v/>
      </c>
      <c r="I76" s="5"/>
      <c r="J76" s="5"/>
      <c r="K76" s="5"/>
      <c r="L76" s="5"/>
      <c r="M76" s="5"/>
      <c r="N76" s="5"/>
      <c r="O76" s="5"/>
      <c r="P76" s="10" t="str">
        <f t="shared" si="13"/>
        <v/>
      </c>
      <c r="Q76" s="11" t="str">
        <f t="shared" si="14"/>
        <v/>
      </c>
      <c r="R76" s="5"/>
    </row>
    <row r="77" spans="1:18" ht="18" customHeight="1" x14ac:dyDescent="0.25">
      <c r="A77" s="13"/>
      <c r="B77" s="13"/>
      <c r="C77" s="13"/>
      <c r="D77" s="13"/>
      <c r="E77" s="13"/>
      <c r="F77" s="13"/>
      <c r="G77" s="13"/>
      <c r="H77" s="7" t="str">
        <f t="shared" si="12"/>
        <v/>
      </c>
      <c r="I77" s="13"/>
      <c r="J77" s="13"/>
      <c r="K77" s="13"/>
      <c r="L77" s="13"/>
      <c r="M77" s="13"/>
      <c r="N77" s="13"/>
      <c r="O77" s="13"/>
      <c r="P77" s="10" t="str">
        <f t="shared" si="13"/>
        <v/>
      </c>
      <c r="Q77" s="11" t="str">
        <f t="shared" si="14"/>
        <v/>
      </c>
      <c r="R77" s="13"/>
    </row>
    <row r="78" spans="1:18" ht="18" customHeight="1" x14ac:dyDescent="0.25">
      <c r="A78" s="5"/>
      <c r="B78" s="5"/>
      <c r="C78" s="5"/>
      <c r="D78" s="5"/>
      <c r="E78" s="5"/>
      <c r="F78" s="5"/>
      <c r="G78" s="5"/>
      <c r="H78" s="7" t="str">
        <f t="shared" si="12"/>
        <v/>
      </c>
      <c r="I78" s="5"/>
      <c r="J78" s="5"/>
      <c r="K78" s="5"/>
      <c r="L78" s="5"/>
      <c r="M78" s="5"/>
      <c r="N78" s="5"/>
      <c r="O78" s="5"/>
      <c r="P78" s="10" t="str">
        <f t="shared" si="13"/>
        <v/>
      </c>
      <c r="Q78" s="11" t="str">
        <f t="shared" si="14"/>
        <v/>
      </c>
      <c r="R78" s="5"/>
    </row>
    <row r="79" spans="1:18" ht="18" customHeight="1" x14ac:dyDescent="0.25">
      <c r="A79" s="13"/>
      <c r="B79" s="13"/>
      <c r="C79" s="13"/>
      <c r="D79" s="13"/>
      <c r="E79" s="13"/>
      <c r="F79" s="13"/>
      <c r="G79" s="13"/>
      <c r="H79" s="7" t="str">
        <f t="shared" si="12"/>
        <v/>
      </c>
      <c r="I79" s="13"/>
      <c r="J79" s="13"/>
      <c r="K79" s="13"/>
      <c r="L79" s="13"/>
      <c r="M79" s="13"/>
      <c r="N79" s="13"/>
      <c r="O79" s="13"/>
      <c r="P79" s="10" t="str">
        <f t="shared" si="13"/>
        <v/>
      </c>
      <c r="Q79" s="11" t="str">
        <f t="shared" si="14"/>
        <v/>
      </c>
      <c r="R79" s="13"/>
    </row>
    <row r="80" spans="1:18" ht="18" customHeight="1" x14ac:dyDescent="0.25">
      <c r="A80" s="5"/>
      <c r="B80" s="5"/>
      <c r="C80" s="5"/>
      <c r="D80" s="5"/>
      <c r="E80" s="5"/>
      <c r="F80" s="5"/>
      <c r="G80" s="5"/>
      <c r="H80" s="7" t="str">
        <f t="shared" si="12"/>
        <v/>
      </c>
      <c r="I80" s="5"/>
      <c r="J80" s="5"/>
      <c r="K80" s="5"/>
      <c r="L80" s="5"/>
      <c r="M80" s="5"/>
      <c r="N80" s="5"/>
      <c r="O80" s="5"/>
      <c r="P80" s="10" t="str">
        <f t="shared" si="13"/>
        <v/>
      </c>
      <c r="Q80" s="11" t="str">
        <f t="shared" si="14"/>
        <v/>
      </c>
      <c r="R80" s="5"/>
    </row>
    <row r="81" spans="1:18" ht="18" customHeight="1" x14ac:dyDescent="0.25">
      <c r="A81" s="13"/>
      <c r="B81" s="13"/>
      <c r="C81" s="13"/>
      <c r="D81" s="13"/>
      <c r="E81" s="13"/>
      <c r="F81" s="13"/>
      <c r="G81" s="13"/>
      <c r="H81" s="7" t="str">
        <f t="shared" si="12"/>
        <v/>
      </c>
      <c r="I81" s="13"/>
      <c r="J81" s="13"/>
      <c r="K81" s="13"/>
      <c r="L81" s="13"/>
      <c r="M81" s="13"/>
      <c r="N81" s="13"/>
      <c r="O81" s="13"/>
      <c r="P81" s="10" t="str">
        <f t="shared" si="13"/>
        <v/>
      </c>
      <c r="Q81" s="11" t="str">
        <f t="shared" si="14"/>
        <v/>
      </c>
      <c r="R81" s="13"/>
    </row>
    <row r="82" spans="1:18" ht="18" customHeight="1" x14ac:dyDescent="0.25">
      <c r="A82" s="5"/>
      <c r="B82" s="5"/>
      <c r="C82" s="5"/>
      <c r="D82" s="5"/>
      <c r="E82" s="5"/>
      <c r="F82" s="5"/>
      <c r="G82" s="5"/>
      <c r="H82" s="7" t="str">
        <f t="shared" si="12"/>
        <v/>
      </c>
      <c r="I82" s="5"/>
      <c r="J82" s="5"/>
      <c r="K82" s="5"/>
      <c r="L82" s="5"/>
      <c r="M82" s="5"/>
      <c r="N82" s="5"/>
      <c r="O82" s="5"/>
      <c r="P82" s="10" t="str">
        <f t="shared" si="13"/>
        <v/>
      </c>
      <c r="Q82" s="11" t="str">
        <f t="shared" si="14"/>
        <v/>
      </c>
      <c r="R82" s="5"/>
    </row>
    <row r="83" spans="1:18" ht="18" customHeight="1" x14ac:dyDescent="0.25">
      <c r="A83" s="13"/>
      <c r="B83" s="13"/>
      <c r="C83" s="13"/>
      <c r="D83" s="13"/>
      <c r="E83" s="13"/>
      <c r="F83" s="13"/>
      <c r="G83" s="13"/>
      <c r="H83" s="7" t="str">
        <f t="shared" si="12"/>
        <v/>
      </c>
      <c r="I83" s="13"/>
      <c r="J83" s="13"/>
      <c r="K83" s="13"/>
      <c r="L83" s="13"/>
      <c r="M83" s="13"/>
      <c r="N83" s="13"/>
      <c r="O83" s="13"/>
      <c r="P83" s="10" t="str">
        <f t="shared" si="13"/>
        <v/>
      </c>
      <c r="Q83" s="11" t="str">
        <f t="shared" si="14"/>
        <v/>
      </c>
      <c r="R83" s="13"/>
    </row>
    <row r="84" spans="1:18" ht="18" customHeight="1" x14ac:dyDescent="0.25">
      <c r="A84" s="5"/>
      <c r="B84" s="5"/>
      <c r="C84" s="5"/>
      <c r="D84" s="5"/>
      <c r="E84" s="5"/>
      <c r="F84" s="5"/>
      <c r="G84" s="5"/>
      <c r="H84" s="7" t="str">
        <f t="shared" si="12"/>
        <v/>
      </c>
      <c r="I84" s="5"/>
      <c r="J84" s="5"/>
      <c r="K84" s="5"/>
      <c r="L84" s="5"/>
      <c r="M84" s="5"/>
      <c r="N84" s="5"/>
      <c r="O84" s="5"/>
      <c r="P84" s="10" t="str">
        <f t="shared" si="13"/>
        <v/>
      </c>
      <c r="Q84" s="11" t="str">
        <f t="shared" si="14"/>
        <v/>
      </c>
      <c r="R84" s="5"/>
    </row>
    <row r="85" spans="1:18" ht="18" customHeight="1" x14ac:dyDescent="0.25">
      <c r="A85" s="13"/>
      <c r="B85" s="13"/>
      <c r="C85" s="13"/>
      <c r="D85" s="13"/>
      <c r="E85" s="13"/>
      <c r="F85" s="13"/>
      <c r="G85" s="13"/>
      <c r="H85" s="7" t="str">
        <f t="shared" si="12"/>
        <v/>
      </c>
      <c r="I85" s="13"/>
      <c r="J85" s="13"/>
      <c r="K85" s="13"/>
      <c r="L85" s="13"/>
      <c r="M85" s="13"/>
      <c r="N85" s="13"/>
      <c r="O85" s="13"/>
      <c r="P85" s="10" t="str">
        <f t="shared" si="13"/>
        <v/>
      </c>
      <c r="Q85" s="11" t="str">
        <f t="shared" si="14"/>
        <v/>
      </c>
      <c r="R85" s="13"/>
    </row>
    <row r="86" spans="1:18" ht="18" customHeight="1" x14ac:dyDescent="0.25">
      <c r="A86" s="5"/>
      <c r="B86" s="5"/>
      <c r="C86" s="5"/>
      <c r="D86" s="5"/>
      <c r="E86" s="5"/>
      <c r="F86" s="5"/>
      <c r="G86" s="5"/>
      <c r="H86" s="7" t="str">
        <f t="shared" si="12"/>
        <v/>
      </c>
      <c r="I86" s="5"/>
      <c r="J86" s="5"/>
      <c r="K86" s="5"/>
      <c r="L86" s="5"/>
      <c r="M86" s="5"/>
      <c r="N86" s="5"/>
      <c r="O86" s="5"/>
      <c r="P86" s="10" t="str">
        <f t="shared" si="13"/>
        <v/>
      </c>
      <c r="Q86" s="11" t="str">
        <f t="shared" si="14"/>
        <v/>
      </c>
      <c r="R86" s="5"/>
    </row>
  </sheetData>
  <mergeCells count="1">
    <mergeCell ref="A1:R1"/>
  </mergeCells>
  <dataValidations count="2">
    <dataValidation type="list" allowBlank="1" showErrorMessage="1" errorTitle="Invalid Category" error="Please select from the dropdown list." sqref="C4:C86" xr:uid="{00000000-0002-0000-0100-000000000000}">
      <formula1>"Beef,Pork,Chicken,Seafood,Side Dish,Vegetable,Noodle,Rice,Other"</formula1>
      <formula2>0</formula2>
    </dataValidation>
    <dataValidation type="list" allowBlank="1" sqref="E4:F86" xr:uid="{00000000-0002-0000-01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7"/>
  <sheetViews>
    <sheetView showGridLines="0" tabSelected="1" zoomScaleNormal="100" workbookViewId="0">
      <selection activeCell="I7" sqref="I7"/>
    </sheetView>
  </sheetViews>
  <sheetFormatPr defaultColWidth="8.7109375" defaultRowHeight="15" x14ac:dyDescent="0.25"/>
  <cols>
    <col min="1" max="1" width="3" customWidth="1"/>
    <col min="2" max="2" width="24" customWidth="1"/>
    <col min="3" max="4" width="16" customWidth="1"/>
    <col min="5" max="5" width="18" customWidth="1"/>
    <col min="6" max="6" width="40" customWidth="1"/>
  </cols>
  <sheetData>
    <row r="1" spans="2:6" ht="30" customHeight="1" x14ac:dyDescent="0.25">
      <c r="B1" s="54" t="s">
        <v>232</v>
      </c>
      <c r="C1" s="54"/>
      <c r="D1" s="54"/>
      <c r="E1" s="54"/>
      <c r="F1" s="54"/>
    </row>
    <row r="2" spans="2:6" ht="19.5" customHeight="1" x14ac:dyDescent="0.25">
      <c r="B2" s="63" t="s">
        <v>234</v>
      </c>
      <c r="C2" s="63"/>
      <c r="D2" s="63"/>
      <c r="E2" s="63"/>
      <c r="F2" s="63"/>
    </row>
    <row r="3" spans="2:6" ht="30" customHeight="1" x14ac:dyDescent="0.25">
      <c r="B3" s="4" t="s">
        <v>55</v>
      </c>
      <c r="C3" s="4" t="s">
        <v>56</v>
      </c>
      <c r="D3" s="4" t="s">
        <v>57</v>
      </c>
      <c r="E3" s="48" t="s">
        <v>217</v>
      </c>
      <c r="F3" s="4" t="s">
        <v>40</v>
      </c>
    </row>
    <row r="4" spans="2:6" ht="19.5" customHeight="1" x14ac:dyDescent="0.25">
      <c r="B4" s="14" t="s">
        <v>58</v>
      </c>
      <c r="C4" s="15">
        <v>50</v>
      </c>
      <c r="D4" s="15">
        <v>65</v>
      </c>
      <c r="E4" s="16">
        <v>57.5</v>
      </c>
      <c r="F4" s="49" t="s">
        <v>218</v>
      </c>
    </row>
    <row r="5" spans="2:6" ht="19.5" customHeight="1" x14ac:dyDescent="0.25">
      <c r="B5" s="18" t="s">
        <v>59</v>
      </c>
      <c r="C5" s="19">
        <v>65</v>
      </c>
      <c r="D5" s="19">
        <v>80</v>
      </c>
      <c r="E5" s="16">
        <v>72.5</v>
      </c>
      <c r="F5" s="20" t="s">
        <v>60</v>
      </c>
    </row>
    <row r="6" spans="2:6" ht="19.5" customHeight="1" x14ac:dyDescent="0.25">
      <c r="B6" s="14" t="s">
        <v>61</v>
      </c>
      <c r="C6" s="15">
        <v>85</v>
      </c>
      <c r="D6" s="15">
        <v>100</v>
      </c>
      <c r="E6" s="16">
        <v>92.5</v>
      </c>
      <c r="F6" s="49" t="s">
        <v>219</v>
      </c>
    </row>
    <row r="7" spans="2:6" ht="19.5" customHeight="1" x14ac:dyDescent="0.25">
      <c r="B7" s="18" t="s">
        <v>62</v>
      </c>
      <c r="C7" s="19">
        <v>55</v>
      </c>
      <c r="D7" s="19">
        <v>70</v>
      </c>
      <c r="E7" s="16">
        <v>62.5</v>
      </c>
      <c r="F7" s="20" t="s">
        <v>63</v>
      </c>
    </row>
    <row r="8" spans="2:6" ht="19.5" customHeight="1" x14ac:dyDescent="0.25">
      <c r="B8" s="14" t="s">
        <v>64</v>
      </c>
      <c r="C8" s="15">
        <v>45</v>
      </c>
      <c r="D8" s="15">
        <v>55</v>
      </c>
      <c r="E8" s="16">
        <v>50</v>
      </c>
      <c r="F8" s="17" t="s">
        <v>65</v>
      </c>
    </row>
    <row r="9" spans="2:6" ht="19.5" customHeight="1" x14ac:dyDescent="0.25">
      <c r="B9" s="18" t="s">
        <v>50</v>
      </c>
      <c r="C9" s="19">
        <v>25</v>
      </c>
      <c r="D9" s="19">
        <v>35</v>
      </c>
      <c r="E9" s="16">
        <v>30</v>
      </c>
      <c r="F9" s="20" t="s">
        <v>66</v>
      </c>
    </row>
    <row r="10" spans="2:6" ht="19.5" customHeight="1" x14ac:dyDescent="0.25">
      <c r="B10" s="14" t="s">
        <v>67</v>
      </c>
      <c r="C10" s="15">
        <v>22</v>
      </c>
      <c r="D10" s="15">
        <v>30</v>
      </c>
      <c r="E10" s="16">
        <v>26</v>
      </c>
      <c r="F10" s="17" t="s">
        <v>68</v>
      </c>
    </row>
    <row r="11" spans="2:6" ht="19.5" customHeight="1" x14ac:dyDescent="0.25">
      <c r="B11" s="18" t="s">
        <v>69</v>
      </c>
      <c r="C11" s="19">
        <v>20</v>
      </c>
      <c r="D11" s="19">
        <v>28</v>
      </c>
      <c r="E11" s="16">
        <v>24</v>
      </c>
      <c r="F11" s="20" t="s">
        <v>70</v>
      </c>
    </row>
    <row r="12" spans="2:6" ht="19.5" customHeight="1" x14ac:dyDescent="0.25">
      <c r="B12" s="18" t="s">
        <v>153</v>
      </c>
      <c r="C12" s="19">
        <v>35</v>
      </c>
      <c r="D12" s="19">
        <v>45</v>
      </c>
      <c r="E12" s="16">
        <v>40</v>
      </c>
      <c r="F12" s="20" t="s">
        <v>154</v>
      </c>
    </row>
    <row r="13" spans="2:6" ht="19.5" customHeight="1" x14ac:dyDescent="0.25">
      <c r="B13" s="14" t="s">
        <v>71</v>
      </c>
      <c r="C13" s="15">
        <v>32</v>
      </c>
      <c r="D13" s="15">
        <v>38</v>
      </c>
      <c r="E13" s="16">
        <v>35</v>
      </c>
      <c r="F13" s="17" t="s">
        <v>72</v>
      </c>
    </row>
    <row r="14" spans="2:6" ht="19.5" customHeight="1" x14ac:dyDescent="0.25">
      <c r="B14" s="14" t="s">
        <v>155</v>
      </c>
      <c r="C14" s="15">
        <v>14</v>
      </c>
      <c r="D14" s="15">
        <v>18</v>
      </c>
      <c r="E14" s="16">
        <v>16</v>
      </c>
      <c r="F14" s="17" t="s">
        <v>156</v>
      </c>
    </row>
    <row r="15" spans="2:6" ht="19.5" customHeight="1" x14ac:dyDescent="0.25">
      <c r="B15" s="18" t="s">
        <v>73</v>
      </c>
      <c r="C15" s="19">
        <v>5</v>
      </c>
      <c r="D15" s="19">
        <v>15</v>
      </c>
      <c r="E15" s="16">
        <v>10</v>
      </c>
      <c r="F15" s="20" t="s">
        <v>74</v>
      </c>
    </row>
    <row r="16" spans="2:6" ht="19.5" customHeight="1" x14ac:dyDescent="0.25">
      <c r="B16" s="44" t="s">
        <v>212</v>
      </c>
      <c r="C16" s="19">
        <v>38</v>
      </c>
      <c r="D16" s="19">
        <v>48</v>
      </c>
      <c r="E16" s="16">
        <v>43</v>
      </c>
      <c r="F16" s="45" t="s">
        <v>147</v>
      </c>
    </row>
    <row r="17" spans="2:6" ht="19.5" customHeight="1" x14ac:dyDescent="0.25">
      <c r="B17" s="14" t="s">
        <v>75</v>
      </c>
      <c r="C17" s="15">
        <v>10</v>
      </c>
      <c r="D17" s="15">
        <v>20</v>
      </c>
      <c r="E17" s="16">
        <v>15</v>
      </c>
      <c r="F17" s="17" t="s">
        <v>76</v>
      </c>
    </row>
  </sheetData>
  <mergeCells count="2">
    <mergeCell ref="B1:F1"/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3"/>
  <sheetViews>
    <sheetView showGridLines="0" topLeftCell="A7" zoomScaleNormal="100" workbookViewId="0">
      <selection activeCell="D6" sqref="D6"/>
    </sheetView>
  </sheetViews>
  <sheetFormatPr defaultColWidth="8.7109375" defaultRowHeight="15" x14ac:dyDescent="0.25"/>
  <cols>
    <col min="1" max="1" width="3" customWidth="1"/>
    <col min="2" max="2" width="30" customWidth="1"/>
    <col min="3" max="6" width="18" customWidth="1"/>
    <col min="7" max="7" width="24" customWidth="1"/>
  </cols>
  <sheetData>
    <row r="1" spans="2:7" ht="30" customHeight="1" x14ac:dyDescent="0.25">
      <c r="B1" s="54" t="s">
        <v>230</v>
      </c>
      <c r="C1" s="54"/>
      <c r="D1" s="54"/>
      <c r="E1" s="54"/>
      <c r="F1" s="54"/>
      <c r="G1" s="54"/>
    </row>
    <row r="3" spans="2:7" ht="24" customHeight="1" x14ac:dyDescent="0.25">
      <c r="B3" s="55" t="s">
        <v>77</v>
      </c>
      <c r="C3" s="55"/>
    </row>
    <row r="4" spans="2:7" ht="21.75" customHeight="1" x14ac:dyDescent="0.25">
      <c r="B4" s="21" t="s">
        <v>78</v>
      </c>
      <c r="C4" s="22">
        <v>39.51</v>
      </c>
      <c r="D4" s="56" t="s">
        <v>209</v>
      </c>
      <c r="E4" s="57"/>
      <c r="F4" s="57"/>
      <c r="G4" s="57"/>
    </row>
    <row r="5" spans="2:7" ht="21.75" customHeight="1" x14ac:dyDescent="0.25">
      <c r="B5" s="21" t="s">
        <v>9</v>
      </c>
      <c r="C5" s="38">
        <v>46196</v>
      </c>
      <c r="D5" s="57" t="s">
        <v>231</v>
      </c>
      <c r="E5" s="57"/>
      <c r="F5" s="57"/>
      <c r="G5" s="57"/>
    </row>
    <row r="6" spans="2:7" ht="9.75" customHeight="1" x14ac:dyDescent="0.25"/>
    <row r="7" spans="2:7" ht="21.75" customHeight="1" x14ac:dyDescent="0.25">
      <c r="B7" s="51" t="s">
        <v>79</v>
      </c>
      <c r="C7" s="51"/>
      <c r="D7" s="51"/>
      <c r="E7" s="51"/>
      <c r="F7" s="51"/>
      <c r="G7" s="51"/>
    </row>
    <row r="8" spans="2:7" ht="19.5" customHeight="1" x14ac:dyDescent="0.25">
      <c r="B8" s="21" t="s">
        <v>80</v>
      </c>
      <c r="C8" s="24">
        <f>COUNTA('Menu Data'!B4:B86)</f>
        <v>38</v>
      </c>
    </row>
    <row r="9" spans="2:7" ht="19.5" customHeight="1" x14ac:dyDescent="0.25">
      <c r="B9" s="21" t="s">
        <v>81</v>
      </c>
      <c r="C9" s="24">
        <f>COUNTIF('Menu Data'!F4:F86,"Yes")</f>
        <v>8</v>
      </c>
    </row>
    <row r="10" spans="2:7" ht="19.5" customHeight="1" x14ac:dyDescent="0.25">
      <c r="B10" s="21" t="s">
        <v>82</v>
      </c>
      <c r="C10" s="24">
        <f>COUNTA('Menu Data'!Q4:Q86)</f>
        <v>83</v>
      </c>
    </row>
    <row r="11" spans="2:7" ht="19.5" customHeight="1" x14ac:dyDescent="0.25">
      <c r="B11" s="21" t="s">
        <v>83</v>
      </c>
      <c r="C11" s="24">
        <f>IFERROR(AVERAGE('Menu Data'!D4:D86),"")</f>
        <v>152.63157894736841</v>
      </c>
    </row>
    <row r="12" spans="2:7" ht="19.5" customHeight="1" x14ac:dyDescent="0.25">
      <c r="B12" s="21" t="s">
        <v>84</v>
      </c>
      <c r="C12" s="40">
        <f>AVERAGE('Menu Data'!Q4:Q41)</f>
        <v>2.14</v>
      </c>
    </row>
    <row r="13" spans="2:7" ht="19.5" customHeight="1" x14ac:dyDescent="0.25">
      <c r="B13" s="21" t="s">
        <v>85</v>
      </c>
      <c r="C13" s="40">
        <f>SUM('Menu Data'!Q4:Q41)</f>
        <v>81.320000000000007</v>
      </c>
    </row>
    <row r="14" spans="2:7" ht="19.5" customHeight="1" x14ac:dyDescent="0.25">
      <c r="B14" s="21" t="s">
        <v>86</v>
      </c>
      <c r="C14" s="25" t="str">
        <f>IFERROR(INDEX('Menu Data'!B4:B86,MATCH(MAX('Menu Data'!Q4:Q86),'Menu Data'!Q4:Q86,0)),"")</f>
        <v>Angus Chuck Flap Tail</v>
      </c>
    </row>
    <row r="15" spans="2:7" ht="19.5" customHeight="1" x14ac:dyDescent="0.25">
      <c r="B15" s="21" t="s">
        <v>87</v>
      </c>
      <c r="C15" s="40">
        <f>MAX('Menu Data'!Q4:Q41)</f>
        <v>9.69</v>
      </c>
    </row>
    <row r="16" spans="2:7" ht="9.75" customHeight="1" x14ac:dyDescent="0.25"/>
    <row r="17" spans="2:7" ht="21.75" customHeight="1" x14ac:dyDescent="0.25">
      <c r="B17" s="51" t="s">
        <v>88</v>
      </c>
      <c r="C17" s="51"/>
      <c r="D17" s="51"/>
      <c r="E17" s="51"/>
      <c r="F17" s="51"/>
      <c r="G17" s="51"/>
    </row>
    <row r="18" spans="2:7" ht="27.75" customHeight="1" x14ac:dyDescent="0.25">
      <c r="B18" s="26" t="s">
        <v>28</v>
      </c>
      <c r="C18" s="26" t="s">
        <v>89</v>
      </c>
      <c r="D18" s="26" t="s">
        <v>90</v>
      </c>
      <c r="E18" s="26" t="s">
        <v>91</v>
      </c>
      <c r="F18" s="26" t="s">
        <v>92</v>
      </c>
      <c r="G18" s="26" t="s">
        <v>40</v>
      </c>
    </row>
    <row r="19" spans="2:7" ht="18" customHeight="1" x14ac:dyDescent="0.25">
      <c r="B19" s="27" t="s">
        <v>42</v>
      </c>
      <c r="C19" s="24">
        <f>COUNTIF('Menu Data'!C4:C86,"Beef")</f>
        <v>9</v>
      </c>
      <c r="D19" s="24">
        <f>IFERROR(AVERAGEIF('Menu Data'!C4:C86,"Beef",'Menu Data'!D4:D86),"")</f>
        <v>246.66666666666666</v>
      </c>
      <c r="E19" s="42">
        <f>AVERAGEIF('Menu Data'!C4:C12,"Beef",'Menu Data'!Q4:Q12)</f>
        <v>4.612222222222222</v>
      </c>
      <c r="F19" s="40">
        <f>SUMIF('Menu Data'!C4:C12,"Beef",'Menu Data'!Q4:Q12)</f>
        <v>41.51</v>
      </c>
      <c r="G19" s="28"/>
    </row>
    <row r="20" spans="2:7" ht="18" customHeight="1" x14ac:dyDescent="0.25">
      <c r="B20" s="29" t="s">
        <v>46</v>
      </c>
      <c r="C20" s="24">
        <f>COUNTIF('Menu Data'!C4:C86,"Pork")</f>
        <v>6</v>
      </c>
      <c r="D20" s="24">
        <f>IFERROR(AVERAGEIF('Menu Data'!C4:C86,"Pork",'Menu Data'!D4:D86),"")</f>
        <v>310</v>
      </c>
      <c r="E20" s="42">
        <f>AVERAGEIF('Menu Data'!C16:C21,"Pork",'Menu Data'!Q16:Q21)</f>
        <v>1.706666666666667</v>
      </c>
      <c r="F20" s="40">
        <f>SUMIF('Menu Data'!C16:C21,"Pork",'Menu Data'!Q16:Q21)</f>
        <v>10.240000000000002</v>
      </c>
      <c r="G20" s="30"/>
    </row>
    <row r="21" spans="2:7" ht="18" customHeight="1" x14ac:dyDescent="0.25">
      <c r="B21" s="27" t="s">
        <v>48</v>
      </c>
      <c r="C21" s="24">
        <f>COUNTIF('Menu Data'!C4:C86,"Chicken")</f>
        <v>3</v>
      </c>
      <c r="D21" s="24">
        <f>IFERROR(AVERAGEIF('Menu Data'!C4:C86,"Chicken",'Menu Data'!D4:D86),"")</f>
        <v>133.33333333333334</v>
      </c>
      <c r="E21" s="42">
        <f>AVERAGEIF('Menu Data'!C13:C15,"Chicken",'Menu Data'!Q13:Q15)</f>
        <v>1.4400000000000002</v>
      </c>
      <c r="F21" s="40">
        <f>SUMIF('Menu Data'!C13:C15,"Chicken",'Menu Data'!Q13:Q15)</f>
        <v>4.32</v>
      </c>
      <c r="G21" s="28"/>
    </row>
    <row r="22" spans="2:7" ht="18" customHeight="1" x14ac:dyDescent="0.25">
      <c r="B22" s="29" t="s">
        <v>51</v>
      </c>
      <c r="C22" s="24">
        <f>COUNTIF('Menu Data'!C4:C86,"Seafood")</f>
        <v>7</v>
      </c>
      <c r="D22" s="24">
        <f>IFERROR(AVERAGEIF('Menu Data'!C4:C86,"Seafood",'Menu Data'!D4:D86),"")</f>
        <v>104.28571428571429</v>
      </c>
      <c r="E22" s="42">
        <f>AVERAGEIF('Menu Data'!C22:C28,"Seafood",'Menu Data'!Q22:Q28)</f>
        <v>2.0828571428571427</v>
      </c>
      <c r="F22" s="40">
        <f>SUMIF('Menu Data'!C22:C28,"Seafood",'Menu Data'!Q22:Q28)</f>
        <v>14.579999999999998</v>
      </c>
      <c r="G22" s="30"/>
    </row>
    <row r="23" spans="2:7" ht="18" customHeight="1" x14ac:dyDescent="0.25">
      <c r="B23" s="29" t="s">
        <v>93</v>
      </c>
      <c r="C23" s="24">
        <f>COUNTIF('Menu Data'!C4:C86,"Vegetable")</f>
        <v>12</v>
      </c>
      <c r="D23" s="24">
        <f>IFERROR(AVERAGEIF('Menu Data'!C4:C86,"Vegetable",'Menu Data'!D4:D86),"")</f>
        <v>40</v>
      </c>
      <c r="E23" s="42">
        <f>AVERAGEIF('Menu Data'!C29:C40,"Vegetable",'Menu Data'!Q29:Q40)</f>
        <v>0.87</v>
      </c>
      <c r="F23" s="40">
        <f>SUMIF('Menu Data'!C29:C40,"Vegetable",'Menu Data'!Q29:Q40)</f>
        <v>10.44</v>
      </c>
      <c r="G23" s="30"/>
    </row>
    <row r="24" spans="2:7" ht="18" customHeight="1" x14ac:dyDescent="0.25">
      <c r="B24" s="29" t="s">
        <v>53</v>
      </c>
      <c r="C24" s="24">
        <f>COUNTIF('Menu Data'!C4:C86,"Rice")</f>
        <v>1</v>
      </c>
      <c r="D24" s="24">
        <f>IFERROR(AVERAGEIF('Menu Data'!C4:C86,"Rice",'Menu Data'!D4:D86),"")</f>
        <v>110</v>
      </c>
      <c r="E24" s="42">
        <f>AVERAGEIF('Menu Data'!C41,"Rice",'Menu Data'!Q41)</f>
        <v>0.23</v>
      </c>
      <c r="F24" s="40">
        <f>SUMIF('Menu Data'!C41,"Rice",'Menu Data'!Q41)</f>
        <v>0.23</v>
      </c>
      <c r="G24" s="30"/>
    </row>
    <row r="25" spans="2:7" ht="9.75" customHeight="1" x14ac:dyDescent="0.25"/>
    <row r="26" spans="2:7" ht="21.75" customHeight="1" x14ac:dyDescent="0.25">
      <c r="B26" s="52" t="s">
        <v>229</v>
      </c>
      <c r="C26" s="52"/>
      <c r="D26" s="52"/>
      <c r="E26" s="52"/>
      <c r="F26" s="52"/>
      <c r="G26" s="52"/>
    </row>
    <row r="27" spans="2:7" ht="27.75" customHeight="1" x14ac:dyDescent="0.25">
      <c r="B27" s="26" t="s">
        <v>94</v>
      </c>
      <c r="C27" s="26" t="s">
        <v>95</v>
      </c>
      <c r="D27" s="41" t="s">
        <v>210</v>
      </c>
      <c r="E27" s="41" t="s">
        <v>96</v>
      </c>
      <c r="F27" s="26" t="s">
        <v>4</v>
      </c>
      <c r="G27" s="26" t="s">
        <v>40</v>
      </c>
    </row>
    <row r="28" spans="2:7" ht="19.5" customHeight="1" x14ac:dyDescent="0.25">
      <c r="B28" s="27" t="s">
        <v>97</v>
      </c>
      <c r="C28" s="23">
        <v>3</v>
      </c>
      <c r="D28" s="23">
        <v>2</v>
      </c>
      <c r="E28" s="40">
        <f>ROUND(3*AVERAGE(E19:E22) + 2*AVERAGE(E23:E24),2)</f>
        <v>8.48</v>
      </c>
      <c r="F28" s="43">
        <f>ROUND(E28/$C$4,2)</f>
        <v>0.21</v>
      </c>
      <c r="G28" s="39" t="s">
        <v>98</v>
      </c>
    </row>
    <row r="29" spans="2:7" ht="19.5" customHeight="1" x14ac:dyDescent="0.25">
      <c r="B29" s="29" t="s">
        <v>99</v>
      </c>
      <c r="C29" s="23">
        <v>6</v>
      </c>
      <c r="D29" s="23">
        <v>3</v>
      </c>
      <c r="E29" s="40">
        <f>ROUND(6*AVERAGE(E19:E22) + 3*AVERAGE(E23:E24),2)</f>
        <v>16.41</v>
      </c>
      <c r="F29" s="43">
        <f t="shared" ref="F29:F30" si="0">ROUND(E29/$C$4,2)</f>
        <v>0.42</v>
      </c>
      <c r="G29" s="13" t="s">
        <v>100</v>
      </c>
    </row>
    <row r="30" spans="2:7" ht="19.5" customHeight="1" x14ac:dyDescent="0.25">
      <c r="B30" s="27" t="s">
        <v>101</v>
      </c>
      <c r="C30" s="23">
        <v>10</v>
      </c>
      <c r="D30" s="23">
        <v>4</v>
      </c>
      <c r="E30" s="40">
        <f>ROUND(10*AVERAGE(E19:E22) + 4*AVERAGE(E23:E24),2)</f>
        <v>26.8</v>
      </c>
      <c r="F30" s="43">
        <f t="shared" si="0"/>
        <v>0.68</v>
      </c>
      <c r="G30" s="39" t="s">
        <v>220</v>
      </c>
    </row>
    <row r="32" spans="2:7" ht="9.75" customHeight="1" x14ac:dyDescent="0.25"/>
    <row r="33" spans="2:7" ht="15" customHeight="1" x14ac:dyDescent="0.25">
      <c r="B33" s="53"/>
      <c r="C33" s="53"/>
      <c r="D33" s="53"/>
      <c r="E33" s="53"/>
      <c r="F33" s="53"/>
      <c r="G33" s="53"/>
    </row>
  </sheetData>
  <mergeCells count="8">
    <mergeCell ref="B17:G17"/>
    <mergeCell ref="B26:G26"/>
    <mergeCell ref="B33:G33"/>
    <mergeCell ref="B1:G1"/>
    <mergeCell ref="B3:C3"/>
    <mergeCell ref="D4:G4"/>
    <mergeCell ref="D5:G5"/>
    <mergeCell ref="B7:G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Menu Data</vt:lpstr>
      <vt:lpstr>Calorie Density Ref</vt:lpstr>
      <vt:lpstr>Value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Tony Tran is the best</cp:lastModifiedBy>
  <cp:revision>0</cp:revision>
  <dcterms:created xsi:type="dcterms:W3CDTF">2026-06-22T19:28:39Z</dcterms:created>
  <dcterms:modified xsi:type="dcterms:W3CDTF">2026-06-23T19:42:51Z</dcterms:modified>
  <dc:language>en-US</dc:language>
</cp:coreProperties>
</file>